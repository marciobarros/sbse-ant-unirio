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360" yWindow="75" windowWidth="14355" windowHeight="7740" activeTab="3"/>
  </bookViews>
  <sheets>
    <sheet name="Tamanho" sheetId="4" r:id="rId1"/>
    <sheet name="Revisoes" sheetId="1" r:id="rId2"/>
    <sheet name="Coupling" sheetId="5" r:id="rId3"/>
    <sheet name="coupling-cohesion variation" sheetId="6" r:id="rId4"/>
  </sheets>
  <functionGroups builtInGroupCount="17"/>
  <definedNames>
    <definedName name="dados_pacotes">'coupling-cohesion variation'!$A$1:$E$659</definedName>
  </definedNames>
  <calcPr calcId="145621"/>
</workbook>
</file>

<file path=xl/calcChain.xml><?xml version="1.0" encoding="utf-8"?>
<calcChain xmlns="http://schemas.openxmlformats.org/spreadsheetml/2006/main">
  <c r="AF103" i="6" l="1"/>
  <c r="J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B72" i="6"/>
  <c r="AC72" i="6"/>
  <c r="AD72" i="6"/>
  <c r="AE72" i="6"/>
  <c r="AF72" i="6"/>
  <c r="J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B73" i="6"/>
  <c r="AC73" i="6"/>
  <c r="AD73" i="6"/>
  <c r="AE73" i="6"/>
  <c r="AF73" i="6"/>
  <c r="J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B74" i="6"/>
  <c r="AC74" i="6"/>
  <c r="AD74" i="6"/>
  <c r="AE74" i="6"/>
  <c r="AF74" i="6"/>
  <c r="J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B75" i="6"/>
  <c r="AC75" i="6"/>
  <c r="AD75" i="6"/>
  <c r="AE75" i="6"/>
  <c r="AF75" i="6"/>
  <c r="J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B76" i="6"/>
  <c r="AC76" i="6"/>
  <c r="AD76" i="6"/>
  <c r="AE76" i="6"/>
  <c r="AF76" i="6"/>
  <c r="J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J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F78" i="6"/>
  <c r="J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AC79" i="6"/>
  <c r="AD79" i="6"/>
  <c r="AE79" i="6"/>
  <c r="AF79" i="6"/>
  <c r="J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AC80" i="6"/>
  <c r="AD80" i="6"/>
  <c r="AE80" i="6"/>
  <c r="AF80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C81" i="6"/>
  <c r="AD81" i="6"/>
  <c r="AE81" i="6"/>
  <c r="AF81" i="6"/>
  <c r="J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B82" i="6"/>
  <c r="AC82" i="6"/>
  <c r="AD82" i="6"/>
  <c r="AE82" i="6"/>
  <c r="AF82" i="6"/>
  <c r="J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AD83" i="6"/>
  <c r="AE83" i="6"/>
  <c r="AF83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AD84" i="6"/>
  <c r="AE84" i="6"/>
  <c r="AF84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C85" i="6"/>
  <c r="AD85" i="6"/>
  <c r="AE85" i="6"/>
  <c r="AF85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AD86" i="6"/>
  <c r="AE86" i="6"/>
  <c r="AF86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F87" i="6"/>
  <c r="J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F88" i="6"/>
  <c r="J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F89" i="6"/>
  <c r="J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B90" i="6"/>
  <c r="AC90" i="6"/>
  <c r="AD90" i="6"/>
  <c r="AE90" i="6"/>
  <c r="AF90" i="6"/>
  <c r="J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B91" i="6"/>
  <c r="AC91" i="6"/>
  <c r="AD91" i="6"/>
  <c r="AE91" i="6"/>
  <c r="AF91" i="6"/>
  <c r="J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B92" i="6"/>
  <c r="AC92" i="6"/>
  <c r="AD92" i="6"/>
  <c r="AE92" i="6"/>
  <c r="AF92" i="6"/>
  <c r="J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B93" i="6"/>
  <c r="AC93" i="6"/>
  <c r="AD93" i="6"/>
  <c r="AE93" i="6"/>
  <c r="AF93" i="6"/>
  <c r="J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B94" i="6"/>
  <c r="AC94" i="6"/>
  <c r="AD94" i="6"/>
  <c r="AE94" i="6"/>
  <c r="AF94" i="6"/>
  <c r="J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B95" i="6"/>
  <c r="AC95" i="6"/>
  <c r="AD95" i="6"/>
  <c r="AE95" i="6"/>
  <c r="AF95" i="6"/>
  <c r="J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B96" i="6"/>
  <c r="AC96" i="6"/>
  <c r="AD96" i="6"/>
  <c r="AE96" i="6"/>
  <c r="AF96" i="6"/>
  <c r="J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B97" i="6"/>
  <c r="AC97" i="6"/>
  <c r="AD97" i="6"/>
  <c r="AE97" i="6"/>
  <c r="AF97" i="6"/>
  <c r="J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B98" i="6"/>
  <c r="AC98" i="6"/>
  <c r="AD98" i="6"/>
  <c r="AE98" i="6"/>
  <c r="AF98" i="6"/>
  <c r="J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AF99" i="6"/>
  <c r="J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B100" i="6"/>
  <c r="AC100" i="6"/>
  <c r="AD100" i="6"/>
  <c r="AE100" i="6"/>
  <c r="AF100" i="6"/>
  <c r="J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B101" i="6"/>
  <c r="AC101" i="6"/>
  <c r="AD101" i="6"/>
  <c r="AE101" i="6"/>
  <c r="AF101" i="6"/>
  <c r="J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B102" i="6"/>
  <c r="AC102" i="6"/>
  <c r="AD102" i="6"/>
  <c r="AE102" i="6"/>
  <c r="AF102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C103" i="6"/>
  <c r="AD103" i="6"/>
  <c r="AE103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72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J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J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AF48" i="6"/>
  <c r="J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J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AF50" i="6"/>
  <c r="J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AF51" i="6"/>
  <c r="J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J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J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J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J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37" i="6"/>
  <c r="S20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J3" i="6"/>
  <c r="K3" i="6"/>
  <c r="L3" i="6"/>
  <c r="M3" i="6"/>
  <c r="N3" i="6"/>
  <c r="O3" i="6"/>
  <c r="P3" i="6"/>
  <c r="Q3" i="6"/>
  <c r="R3" i="6"/>
  <c r="S3" i="6"/>
  <c r="T3" i="6"/>
  <c r="U3" i="6"/>
  <c r="V3" i="6"/>
  <c r="W3" i="6"/>
  <c r="X3" i="6"/>
  <c r="Y3" i="6"/>
  <c r="Z3" i="6"/>
  <c r="AA3" i="6"/>
  <c r="AB3" i="6"/>
  <c r="AC3" i="6"/>
  <c r="AD3" i="6"/>
  <c r="AE3" i="6"/>
  <c r="AF3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J5" i="6"/>
  <c r="K5" i="6"/>
  <c r="L5" i="6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AA5" i="6"/>
  <c r="AB5" i="6"/>
  <c r="AC5" i="6"/>
  <c r="AD5" i="6"/>
  <c r="AE5" i="6"/>
  <c r="AF5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J20" i="6"/>
  <c r="K20" i="6"/>
  <c r="L20" i="6"/>
  <c r="M20" i="6"/>
  <c r="N20" i="6"/>
  <c r="O20" i="6"/>
  <c r="P20" i="6"/>
  <c r="Q20" i="6"/>
  <c r="R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J26" i="6"/>
  <c r="K26" i="6"/>
  <c r="L26" i="6"/>
  <c r="M26" i="6"/>
  <c r="N26" i="6"/>
  <c r="O26" i="6"/>
  <c r="P26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AF26" i="6"/>
  <c r="J27" i="6"/>
  <c r="K27" i="6"/>
  <c r="L27" i="6"/>
  <c r="M27" i="6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J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J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J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J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2" i="6"/>
  <c r="AJ103" i="6"/>
  <c r="AI102" i="6"/>
  <c r="AH101" i="6"/>
  <c r="AJ99" i="6"/>
  <c r="AI98" i="6"/>
  <c r="AH97" i="6"/>
  <c r="AJ95" i="6"/>
  <c r="AI94" i="6"/>
  <c r="AH93" i="6"/>
  <c r="AJ91" i="6"/>
  <c r="AI90" i="6"/>
  <c r="AH89" i="6"/>
  <c r="AJ87" i="6"/>
  <c r="AI86" i="6"/>
  <c r="AH85" i="6"/>
  <c r="AJ83" i="6"/>
  <c r="AI82" i="6"/>
  <c r="AH81" i="6"/>
  <c r="AJ79" i="6"/>
  <c r="AI78" i="6"/>
  <c r="AH77" i="6"/>
  <c r="AJ75" i="6"/>
  <c r="AI74" i="6"/>
  <c r="AH73" i="6"/>
  <c r="AH102" i="6"/>
  <c r="AI79" i="6"/>
  <c r="AI75" i="6"/>
  <c r="AJ72" i="6"/>
  <c r="AH103" i="6"/>
  <c r="AJ77" i="6"/>
  <c r="AJ73" i="6"/>
  <c r="AJ102" i="6"/>
  <c r="AI101" i="6"/>
  <c r="AH100" i="6"/>
  <c r="AJ98" i="6"/>
  <c r="AI97" i="6"/>
  <c r="AH96" i="6"/>
  <c r="AJ94" i="6"/>
  <c r="AI93" i="6"/>
  <c r="AH92" i="6"/>
  <c r="AJ90" i="6"/>
  <c r="AI89" i="6"/>
  <c r="AH88" i="6"/>
  <c r="AJ86" i="6"/>
  <c r="AI85" i="6"/>
  <c r="AH84" i="6"/>
  <c r="AJ82" i="6"/>
  <c r="AI81" i="6"/>
  <c r="AH80" i="6"/>
  <c r="AJ78" i="6"/>
  <c r="AI77" i="6"/>
  <c r="AH76" i="6"/>
  <c r="AJ74" i="6"/>
  <c r="AI73" i="6"/>
  <c r="AH72" i="6"/>
  <c r="AI103" i="6"/>
  <c r="AJ100" i="6"/>
  <c r="AI99" i="6"/>
  <c r="AH98" i="6"/>
  <c r="AJ96" i="6"/>
  <c r="AI95" i="6"/>
  <c r="AH94" i="6"/>
  <c r="AJ92" i="6"/>
  <c r="AI91" i="6"/>
  <c r="AH90" i="6"/>
  <c r="AJ88" i="6"/>
  <c r="AI87" i="6"/>
  <c r="AH86" i="6"/>
  <c r="AJ84" i="6"/>
  <c r="AI83" i="6"/>
  <c r="AH82" i="6"/>
  <c r="AJ80" i="6"/>
  <c r="AH78" i="6"/>
  <c r="AJ76" i="6"/>
  <c r="AH74" i="6"/>
  <c r="AJ101" i="6"/>
  <c r="AI100" i="6"/>
  <c r="AH99" i="6"/>
  <c r="AJ97" i="6"/>
  <c r="AI96" i="6"/>
  <c r="AH95" i="6"/>
  <c r="AJ93" i="6"/>
  <c r="AI92" i="6"/>
  <c r="AH91" i="6"/>
  <c r="AJ89" i="6"/>
  <c r="AI88" i="6"/>
  <c r="AH87" i="6"/>
  <c r="AJ85" i="6"/>
  <c r="AI84" i="6"/>
  <c r="AH83" i="6"/>
  <c r="AJ81" i="6"/>
  <c r="AI80" i="6"/>
  <c r="AH79" i="6"/>
  <c r="AI76" i="6"/>
  <c r="AH75" i="6"/>
  <c r="AI72" i="6"/>
  <c r="AI68" i="6"/>
  <c r="AH67" i="6"/>
  <c r="AJ65" i="6"/>
  <c r="AI64" i="6"/>
  <c r="AH63" i="6"/>
  <c r="AJ61" i="6"/>
  <c r="AI60" i="6"/>
  <c r="AH59" i="6"/>
  <c r="AJ57" i="6"/>
  <c r="AI56" i="6"/>
  <c r="AH55" i="6"/>
  <c r="AJ53" i="6"/>
  <c r="AI52" i="6"/>
  <c r="AH51" i="6"/>
  <c r="AJ49" i="6"/>
  <c r="AI48" i="6"/>
  <c r="AH47" i="6"/>
  <c r="AJ45" i="6"/>
  <c r="AI44" i="6"/>
  <c r="AH43" i="6"/>
  <c r="AJ41" i="6"/>
  <c r="AI40" i="6"/>
  <c r="AH39" i="6"/>
  <c r="AJ37" i="6"/>
  <c r="AH68" i="6"/>
  <c r="AJ66" i="6"/>
  <c r="AI65" i="6"/>
  <c r="AH64" i="6"/>
  <c r="AJ62" i="6"/>
  <c r="AI61" i="6"/>
  <c r="AH60" i="6"/>
  <c r="AJ58" i="6"/>
  <c r="AI57" i="6"/>
  <c r="AH56" i="6"/>
  <c r="AJ54" i="6"/>
  <c r="AI53" i="6"/>
  <c r="AH52" i="6"/>
  <c r="AJ50" i="6"/>
  <c r="AI49" i="6"/>
  <c r="AH48" i="6"/>
  <c r="AJ46" i="6"/>
  <c r="AI45" i="6"/>
  <c r="AH44" i="6"/>
  <c r="AJ42" i="6"/>
  <c r="AI41" i="6"/>
  <c r="AH40" i="6"/>
  <c r="AJ38" i="6"/>
  <c r="AI37" i="6"/>
  <c r="AJ67" i="6"/>
  <c r="AI66" i="6"/>
  <c r="AH65" i="6"/>
  <c r="AJ63" i="6"/>
  <c r="AI62" i="6"/>
  <c r="AH61" i="6"/>
  <c r="AJ59" i="6"/>
  <c r="AI58" i="6"/>
  <c r="AH57" i="6"/>
  <c r="AJ55" i="6"/>
  <c r="AI54" i="6"/>
  <c r="AH53" i="6"/>
  <c r="AJ51" i="6"/>
  <c r="AI50" i="6"/>
  <c r="AH49" i="6"/>
  <c r="AJ47" i="6"/>
  <c r="AI46" i="6"/>
  <c r="AH45" i="6"/>
  <c r="AJ43" i="6"/>
  <c r="AI42" i="6"/>
  <c r="AH41" i="6"/>
  <c r="AJ39" i="6"/>
  <c r="AI38" i="6"/>
  <c r="AH37" i="6"/>
  <c r="AJ68" i="6"/>
  <c r="AI67" i="6"/>
  <c r="AH66" i="6"/>
  <c r="AJ64" i="6"/>
  <c r="AI63" i="6"/>
  <c r="AH62" i="6"/>
  <c r="AJ60" i="6"/>
  <c r="AI59" i="6"/>
  <c r="AH58" i="6"/>
  <c r="AJ56" i="6"/>
  <c r="AI55" i="6"/>
  <c r="AH54" i="6"/>
  <c r="AJ52" i="6"/>
  <c r="AI51" i="6"/>
  <c r="AH50" i="6"/>
  <c r="AJ48" i="6"/>
  <c r="AI47" i="6"/>
  <c r="AH46" i="6"/>
  <c r="AJ44" i="6"/>
  <c r="AI43" i="6"/>
  <c r="AH42" i="6"/>
  <c r="AJ40" i="6"/>
  <c r="AI39" i="6"/>
  <c r="AH38" i="6"/>
  <c r="AH3" i="6"/>
  <c r="AI4" i="6"/>
  <c r="AJ5" i="6"/>
  <c r="AH7" i="6"/>
  <c r="AI8" i="6"/>
  <c r="AJ9" i="6"/>
  <c r="AH11" i="6"/>
  <c r="AI12" i="6"/>
  <c r="AJ13" i="6"/>
  <c r="AH15" i="6"/>
  <c r="AI16" i="6"/>
  <c r="AJ17" i="6"/>
  <c r="AH19" i="6"/>
  <c r="AI20" i="6"/>
  <c r="AJ21" i="6"/>
  <c r="AH23" i="6"/>
  <c r="AI24" i="6"/>
  <c r="AJ25" i="6"/>
  <c r="AH27" i="6"/>
  <c r="AI28" i="6"/>
  <c r="AJ29" i="6"/>
  <c r="AH31" i="6"/>
  <c r="AI32" i="6"/>
  <c r="AJ33" i="6"/>
  <c r="AJ4" i="6"/>
  <c r="AJ8" i="6"/>
  <c r="AI11" i="6"/>
  <c r="AH14" i="6"/>
  <c r="AJ16" i="6"/>
  <c r="AI19" i="6"/>
  <c r="AH22" i="6"/>
  <c r="AJ24" i="6"/>
  <c r="AI27" i="6"/>
  <c r="AH30" i="6"/>
  <c r="AJ32" i="6"/>
  <c r="AJ3" i="6"/>
  <c r="AI6" i="6"/>
  <c r="AH9" i="6"/>
  <c r="AJ11" i="6"/>
  <c r="AI14" i="6"/>
  <c r="AH17" i="6"/>
  <c r="AJ19" i="6"/>
  <c r="AI22" i="6"/>
  <c r="AI26" i="6"/>
  <c r="AH29" i="6"/>
  <c r="AJ31" i="6"/>
  <c r="AH4" i="6"/>
  <c r="AI5" i="6"/>
  <c r="AJ6" i="6"/>
  <c r="AH8" i="6"/>
  <c r="AI9" i="6"/>
  <c r="AJ10" i="6"/>
  <c r="AH12" i="6"/>
  <c r="AI13" i="6"/>
  <c r="AJ14" i="6"/>
  <c r="AH16" i="6"/>
  <c r="AI17" i="6"/>
  <c r="AJ18" i="6"/>
  <c r="AH20" i="6"/>
  <c r="AI21" i="6"/>
  <c r="AJ22" i="6"/>
  <c r="AH24" i="6"/>
  <c r="AI25" i="6"/>
  <c r="AJ26" i="6"/>
  <c r="AH28" i="6"/>
  <c r="AI29" i="6"/>
  <c r="AJ30" i="6"/>
  <c r="AH32" i="6"/>
  <c r="AI33" i="6"/>
  <c r="AI3" i="6"/>
  <c r="AH6" i="6"/>
  <c r="AI7" i="6"/>
  <c r="AH10" i="6"/>
  <c r="AJ12" i="6"/>
  <c r="AI15" i="6"/>
  <c r="AH18" i="6"/>
  <c r="AJ20" i="6"/>
  <c r="AI23" i="6"/>
  <c r="AH26" i="6"/>
  <c r="AJ28" i="6"/>
  <c r="AI31" i="6"/>
  <c r="AH5" i="6"/>
  <c r="AJ7" i="6"/>
  <c r="AI10" i="6"/>
  <c r="AH13" i="6"/>
  <c r="AJ15" i="6"/>
  <c r="AI18" i="6"/>
  <c r="AH21" i="6"/>
  <c r="AJ23" i="6"/>
  <c r="AH25" i="6"/>
  <c r="AJ27" i="6"/>
  <c r="AI30" i="6"/>
  <c r="AH33" i="6"/>
  <c r="AJ2" i="6"/>
  <c r="AI2" i="6"/>
  <c r="AH2" i="6"/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3" i="1"/>
</calcChain>
</file>

<file path=xl/comments1.xml><?xml version="1.0" encoding="utf-8"?>
<comments xmlns="http://schemas.openxmlformats.org/spreadsheetml/2006/main">
  <authors>
    <author>Marcio</author>
  </authors>
  <commentList>
    <comment ref="D2" authorId="0">
      <text>
        <r>
          <rPr>
            <b/>
            <sz val="9"/>
            <color indexed="81"/>
            <rFont val="Tahoma"/>
            <charset val="1"/>
          </rPr>
          <t>Marcio:</t>
        </r>
        <r>
          <rPr>
            <sz val="9"/>
            <color indexed="81"/>
            <rFont val="Tahoma"/>
            <charset val="1"/>
          </rPr>
          <t xml:space="preserve">
está multiplicado por 2</t>
        </r>
      </text>
    </comment>
  </commentList>
</comments>
</file>

<file path=xl/sharedStrings.xml><?xml version="1.0" encoding="utf-8"?>
<sst xmlns="http://schemas.openxmlformats.org/spreadsheetml/2006/main" count="1605" uniqueCount="132">
  <si>
    <t>rev</t>
  </si>
  <si>
    <t>revsc</t>
  </si>
  <si>
    <t>revmc</t>
  </si>
  <si>
    <t>revmp</t>
  </si>
  <si>
    <t>team</t>
  </si>
  <si>
    <t>inTeam</t>
  </si>
  <si>
    <t>outTeam</t>
  </si>
  <si>
    <t>1.1.0</t>
  </si>
  <si>
    <t>1.2.0</t>
  </si>
  <si>
    <t>1.3.0</t>
  </si>
  <si>
    <t>1.4.0</t>
  </si>
  <si>
    <t>1.4.1</t>
  </si>
  <si>
    <t>1.5.0</t>
  </si>
  <si>
    <t>1.5.1</t>
  </si>
  <si>
    <t>1.5.2</t>
  </si>
  <si>
    <t>1.5.3</t>
  </si>
  <si>
    <t>1.5.4</t>
  </si>
  <si>
    <t>1.6.0</t>
  </si>
  <si>
    <t>1.6.1</t>
  </si>
  <si>
    <t>1.6.2</t>
  </si>
  <si>
    <t>1.6.3</t>
  </si>
  <si>
    <t>1.6.4</t>
  </si>
  <si>
    <t>1.6.5</t>
  </si>
  <si>
    <t>1.7.0</t>
  </si>
  <si>
    <t>1.7.1</t>
  </si>
  <si>
    <t>1.8.0</t>
  </si>
  <si>
    <t>1.8.1</t>
  </si>
  <si>
    <t>1.8.2</t>
  </si>
  <si>
    <t>1.8.3</t>
  </si>
  <si>
    <t>1.8.4</t>
  </si>
  <si>
    <t>1.9.0</t>
  </si>
  <si>
    <t>single</t>
  </si>
  <si>
    <t>pv_c</t>
  </si>
  <si>
    <t>revsp</t>
  </si>
  <si>
    <t>pv_p</t>
  </si>
  <si>
    <t>revmc2</t>
  </si>
  <si>
    <t>revsc2</t>
  </si>
  <si>
    <t>pv_c2</t>
  </si>
  <si>
    <t>revmp2</t>
  </si>
  <si>
    <t>revsp2</t>
  </si>
  <si>
    <t>pv_p2</t>
  </si>
  <si>
    <t>-</t>
  </si>
  <si>
    <t>perc_sgl</t>
  </si>
  <si>
    <t>Version</t>
  </si>
  <si>
    <t>Packages</t>
  </si>
  <si>
    <t>Classes</t>
  </si>
  <si>
    <t>Attrs</t>
  </si>
  <si>
    <t>Meths</t>
  </si>
  <si>
    <t>PMeths</t>
  </si>
  <si>
    <t>NAC</t>
  </si>
  <si>
    <t>D</t>
  </si>
  <si>
    <t>IE</t>
  </si>
  <si>
    <t>XE</t>
  </si>
  <si>
    <t>MQ</t>
  </si>
  <si>
    <t>EVM</t>
  </si>
  <si>
    <t>LCOM</t>
  </si>
  <si>
    <t>CBO</t>
  </si>
  <si>
    <t>version</t>
  </si>
  <si>
    <t>package</t>
  </si>
  <si>
    <t>affcoup</t>
  </si>
  <si>
    <t>effcoup</t>
  </si>
  <si>
    <t>cohe</t>
  </si>
  <si>
    <t>com.oreilly.servlet</t>
  </si>
  <si>
    <t>org.apache.tools.ant.taskdefs</t>
  </si>
  <si>
    <t>org.apache.tools.ant</t>
  </si>
  <si>
    <t>org.apache.tools.tar</t>
  </si>
  <si>
    <t>org.apache.tools.ant.taskdefs.optional</t>
  </si>
  <si>
    <t>org.apache.tools.ant.taskdefs.optional.ejb</t>
  </si>
  <si>
    <t>org.apache.tools.ant.taskdefs.optional.javacc</t>
  </si>
  <si>
    <t>org.apache.tools.ant.taskdefs.optional.jlink</t>
  </si>
  <si>
    <t>org.apache.tools.ant.taskdefs.optional.jsp</t>
  </si>
  <si>
    <t>org.apache.tools.ant.taskdefs.optional.metamata</t>
  </si>
  <si>
    <t>org.apache.tools.ant.taskdefs.optional.perforce</t>
  </si>
  <si>
    <t>org.apache.tools.ant.taskdefs.optional.vss</t>
  </si>
  <si>
    <t>org.apache.tools.ant.types</t>
  </si>
  <si>
    <t>org.apache.tools.mail</t>
  </si>
  <si>
    <t>org.apache.tools.ant.taskdefs.compilers</t>
  </si>
  <si>
    <t>org.apache.tools.ant.util</t>
  </si>
  <si>
    <t>org.apache.tools.ant.util.regexp</t>
  </si>
  <si>
    <t>org.apache.tools.ant.listener</t>
  </si>
  <si>
    <t>org.apache.tools.ant.taskdefs.condition</t>
  </si>
  <si>
    <t>org.apache.tools.ant.taskdefs.rmic</t>
  </si>
  <si>
    <t>org.apache.tools.zip</t>
  </si>
  <si>
    <t>org.apache.tools.ant.filters</t>
  </si>
  <si>
    <t>org.apache.tools.ant.filters.util</t>
  </si>
  <si>
    <t>org.apache.tools.ant.helper</t>
  </si>
  <si>
    <t>org.apache.tools.ant.input</t>
  </si>
  <si>
    <t>org.apache.tools.ant.taskdefs.cvslib</t>
  </si>
  <si>
    <t>org.apache.tools.ant.taskdefs.email</t>
  </si>
  <si>
    <t>org.apache.tools.ant.types.selectors</t>
  </si>
  <si>
    <t>org.apache.tools.ant.util.facade</t>
  </si>
  <si>
    <t>org.apache.tools.bzip2</t>
  </si>
  <si>
    <t>org.apache.tools.ant.loader</t>
  </si>
  <si>
    <t>org.apache.tools.ant.types.resolver</t>
  </si>
  <si>
    <t>org.apache.tools.ant.types.selectors.modifiedselector</t>
  </si>
  <si>
    <t>org.apache.tools.ant.types.mappers</t>
  </si>
  <si>
    <t>org.apache.tools.ant.dispatch</t>
  </si>
  <si>
    <t>org.apache.tools.ant.types.resources</t>
  </si>
  <si>
    <t>org.apache.tools.ant.types.resources.comparators</t>
  </si>
  <si>
    <t>org.apache.tools.ant.types.resources.selectors</t>
  </si>
  <si>
    <t>org.apache.tools.ant.types.spi</t>
  </si>
  <si>
    <t>org.apache.tools.ant.property</t>
  </si>
  <si>
    <t>org.apache.tools.ant.taskdefs.optional.ccm</t>
  </si>
  <si>
    <t>org.apache.tools.ant.taskdefs.optional.clearcase</t>
  </si>
  <si>
    <t>org.apache.tools.ant.taskdefs.optional.depend</t>
  </si>
  <si>
    <t>org.apache.tools.ant.taskdefs.optional.depend.constantpool</t>
  </si>
  <si>
    <t>org.apache.tools.ant.taskdefs.optional.extension</t>
  </si>
  <si>
    <t>org.apache.tools.ant.taskdefs.optional.extension.resolvers</t>
  </si>
  <si>
    <t>org.apache.tools.ant.taskdefs.optional.i18n</t>
  </si>
  <si>
    <t>org.apache.tools.ant.taskdefs.optional.j2ee</t>
  </si>
  <si>
    <t>org.apache.tools.ant.taskdefs.optional.javah</t>
  </si>
  <si>
    <t>org.apache.tools.ant.taskdefs.optional.jsp.compilers</t>
  </si>
  <si>
    <t>org.apache.tools.ant.taskdefs.optional.native2ascii</t>
  </si>
  <si>
    <t>org.apache.tools.ant.taskdefs.optional.net</t>
  </si>
  <si>
    <t>org.apache.tools.ant.taskdefs.optional.pvcs</t>
  </si>
  <si>
    <t>org.apache.tools.ant.taskdefs.optional.script</t>
  </si>
  <si>
    <t>org.apache.tools.ant.taskdefs.optional.sos</t>
  </si>
  <si>
    <t>org.apache.tools.ant.taskdefs.optional.testing</t>
  </si>
  <si>
    <t>org.apache.tools.ant.taskdefs.optional.unix</t>
  </si>
  <si>
    <t>org.apache.tools.ant.taskdefs.optional.windows</t>
  </si>
  <si>
    <t>org.apache.tools.ant.types.optional</t>
  </si>
  <si>
    <t>org.apache.tools.ant.types.optional.depend</t>
  </si>
  <si>
    <t>org.apache.tools.ant.util.depend</t>
  </si>
  <si>
    <t>org.apache.tools.ant.util.java15</t>
  </si>
  <si>
    <t>org.apache.tools.ant.util.optional</t>
  </si>
  <si>
    <t>org.apache.tools.ant.taskdefs.launcher</t>
  </si>
  <si>
    <t>Pacotes em mais de 5 versões (AFF COUP)</t>
  </si>
  <si>
    <t>Pacotes em mais de 5 versões (EFF COUP)</t>
  </si>
  <si>
    <t>Pacotes em mais de 5 versões (COHESION)</t>
  </si>
  <si>
    <t>G</t>
  </si>
  <si>
    <t>S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</si>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</sst>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0.0"/>
    <numFmt numFmtId="165" formatCode="#,##0;\-#,##0;\-"/>
    <numFmt numFmtId="166" formatCode="0;\-;\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2">
    <xf numFmtId="0" fontId="0" fillId="0" borderId="0" xfId="0"/>
    <xf numFmtId="164" fontId="0" fillId="0" borderId="0" xfId="0" applyNumberFormat="1"/>
    <xf numFmtId="9" fontId="0" fillId="0" borderId="0" xfId="1" applyFont="1"/>
    <xf numFmtId="0" fontId="0" fillId="0" borderId="0" xfId="0" applyAlignment="1">
      <alignment horizontal="right"/>
    </xf>
    <xf numFmtId="9" fontId="0" fillId="0" borderId="0" xfId="1" applyFont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165" fontId="0" fillId="0" borderId="0" xfId="2" applyNumberFormat="1" applyFont="1"/>
    <xf numFmtId="2" fontId="0" fillId="0" borderId="0" xfId="0" applyNumberFormat="1"/>
    <xf numFmtId="166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</cellXfs>
  <cellStyles count="3">
    <cellStyle name="Normal" xfId="0" builtinId="0"/>
    <cellStyle name="Porcentagem" xfId="1" builtinId="5"/>
    <cellStyle name="Vírgula" xfId="2" builtinId="3"/>
  </cellStyles>
  <dxfs count="4"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2:G26"/>
  <sheetViews>
    <sheetView workbookViewId="0"/>
  </sheetViews>
  <sheetFormatPr defaultRowHeight="15" x14ac:dyDescent="0.25"/>
  <sheetData>
    <row r="2" spans="1:7" x14ac:dyDescent="0.25">
      <c r="A2" t="s">
        <v>43</v>
      </c>
      <c r="B2" s="3" t="s">
        <v>44</v>
      </c>
      <c r="C2" s="3" t="s">
        <v>45</v>
      </c>
      <c r="D2" s="3" t="s">
        <v>46</v>
      </c>
      <c r="E2" s="3" t="s">
        <v>47</v>
      </c>
      <c r="F2" s="3" t="s">
        <v>48</v>
      </c>
      <c r="G2" s="3" t="s">
        <v>49</v>
      </c>
    </row>
    <row r="3" spans="1:7" x14ac:dyDescent="0.25">
      <c r="A3" t="s">
        <v>7</v>
      </c>
      <c r="B3">
        <v>4</v>
      </c>
      <c r="C3">
        <v>102</v>
      </c>
      <c r="D3">
        <v>141</v>
      </c>
      <c r="E3">
        <v>816</v>
      </c>
      <c r="F3">
        <v>633</v>
      </c>
      <c r="G3" s="1">
        <v>8.3051309999999994</v>
      </c>
    </row>
    <row r="4" spans="1:7" x14ac:dyDescent="0.25">
      <c r="A4" t="s">
        <v>8</v>
      </c>
      <c r="B4">
        <v>13</v>
      </c>
      <c r="C4">
        <v>173</v>
      </c>
      <c r="D4">
        <v>249</v>
      </c>
      <c r="E4">
        <v>1521</v>
      </c>
      <c r="F4">
        <v>1186</v>
      </c>
      <c r="G4" s="1">
        <v>11.919943999999999</v>
      </c>
    </row>
    <row r="5" spans="1:7" x14ac:dyDescent="0.25">
      <c r="A5" t="s">
        <v>9</v>
      </c>
      <c r="B5">
        <v>8</v>
      </c>
      <c r="C5">
        <v>187</v>
      </c>
      <c r="D5">
        <v>294</v>
      </c>
      <c r="E5">
        <v>1548</v>
      </c>
      <c r="F5">
        <v>1223</v>
      </c>
      <c r="G5" s="1">
        <v>13.014405999999999</v>
      </c>
    </row>
    <row r="6" spans="1:7" x14ac:dyDescent="0.25">
      <c r="A6" t="s">
        <v>10</v>
      </c>
      <c r="B6">
        <v>13</v>
      </c>
      <c r="C6">
        <v>265</v>
      </c>
      <c r="D6">
        <v>410</v>
      </c>
      <c r="E6">
        <v>2193</v>
      </c>
      <c r="F6">
        <v>1729</v>
      </c>
      <c r="G6" s="1">
        <v>16.849349</v>
      </c>
    </row>
    <row r="7" spans="1:7" x14ac:dyDescent="0.25">
      <c r="A7" t="s">
        <v>11</v>
      </c>
      <c r="B7">
        <v>13</v>
      </c>
      <c r="C7">
        <v>265</v>
      </c>
      <c r="D7">
        <v>410</v>
      </c>
      <c r="E7">
        <v>2202</v>
      </c>
      <c r="F7">
        <v>1735</v>
      </c>
      <c r="G7" s="1">
        <v>16.849349</v>
      </c>
    </row>
    <row r="8" spans="1:7" x14ac:dyDescent="0.25">
      <c r="A8" t="s">
        <v>12</v>
      </c>
      <c r="B8">
        <v>21</v>
      </c>
      <c r="C8">
        <v>401</v>
      </c>
      <c r="D8">
        <v>584</v>
      </c>
      <c r="E8">
        <v>3379</v>
      </c>
      <c r="F8">
        <v>2639</v>
      </c>
      <c r="G8" s="1">
        <v>20.834375000000001</v>
      </c>
    </row>
    <row r="9" spans="1:7" x14ac:dyDescent="0.25">
      <c r="A9" t="s">
        <v>13</v>
      </c>
      <c r="B9">
        <v>21</v>
      </c>
      <c r="C9">
        <v>401</v>
      </c>
      <c r="D9">
        <v>584</v>
      </c>
      <c r="E9">
        <v>3389</v>
      </c>
      <c r="F9">
        <v>2644</v>
      </c>
      <c r="G9" s="1">
        <v>20.834375000000001</v>
      </c>
    </row>
    <row r="10" spans="1:7" x14ac:dyDescent="0.25">
      <c r="A10" t="s">
        <v>14</v>
      </c>
      <c r="B10">
        <v>21</v>
      </c>
      <c r="C10">
        <v>406</v>
      </c>
      <c r="D10">
        <v>591</v>
      </c>
      <c r="E10">
        <v>3457</v>
      </c>
      <c r="F10">
        <v>2703</v>
      </c>
      <c r="G10" s="1">
        <v>21.118124999999999</v>
      </c>
    </row>
    <row r="11" spans="1:7" x14ac:dyDescent="0.25">
      <c r="A11" t="s">
        <v>15</v>
      </c>
      <c r="B11">
        <v>21</v>
      </c>
      <c r="C11">
        <v>407</v>
      </c>
      <c r="D11">
        <v>593</v>
      </c>
      <c r="E11">
        <v>3465</v>
      </c>
      <c r="F11">
        <v>2708</v>
      </c>
      <c r="G11" s="1">
        <v>21.231428999999999</v>
      </c>
    </row>
    <row r="12" spans="1:7" x14ac:dyDescent="0.25">
      <c r="A12" t="s">
        <v>16</v>
      </c>
      <c r="B12">
        <v>21</v>
      </c>
      <c r="C12">
        <v>407</v>
      </c>
      <c r="D12">
        <v>597</v>
      </c>
      <c r="E12">
        <v>3465</v>
      </c>
      <c r="F12">
        <v>2708</v>
      </c>
      <c r="G12" s="1">
        <v>21.231428999999999</v>
      </c>
    </row>
    <row r="13" spans="1:7" x14ac:dyDescent="0.25">
      <c r="A13" t="s">
        <v>17</v>
      </c>
      <c r="B13">
        <v>24</v>
      </c>
      <c r="C13">
        <v>523</v>
      </c>
      <c r="D13">
        <v>797</v>
      </c>
      <c r="E13">
        <v>4651</v>
      </c>
      <c r="F13">
        <v>3639</v>
      </c>
      <c r="G13" s="1">
        <v>26.048522999999999</v>
      </c>
    </row>
    <row r="14" spans="1:7" x14ac:dyDescent="0.25">
      <c r="A14" t="s">
        <v>18</v>
      </c>
      <c r="B14">
        <v>24</v>
      </c>
      <c r="C14">
        <v>524</v>
      </c>
      <c r="D14">
        <v>797</v>
      </c>
      <c r="E14">
        <v>4679</v>
      </c>
      <c r="F14">
        <v>3665</v>
      </c>
      <c r="G14" s="1">
        <v>26.132066999999999</v>
      </c>
    </row>
    <row r="15" spans="1:7" x14ac:dyDescent="0.25">
      <c r="A15" t="s">
        <v>19</v>
      </c>
      <c r="B15">
        <v>24</v>
      </c>
      <c r="C15">
        <v>553</v>
      </c>
      <c r="D15">
        <v>843</v>
      </c>
      <c r="E15">
        <v>4884</v>
      </c>
      <c r="F15">
        <v>3817</v>
      </c>
      <c r="G15" s="1">
        <v>27.700993</v>
      </c>
    </row>
    <row r="16" spans="1:7" x14ac:dyDescent="0.25">
      <c r="A16" t="s">
        <v>20</v>
      </c>
      <c r="B16">
        <v>25</v>
      </c>
      <c r="C16">
        <v>576</v>
      </c>
      <c r="D16">
        <v>880</v>
      </c>
      <c r="E16">
        <v>5124</v>
      </c>
      <c r="F16">
        <v>3971</v>
      </c>
      <c r="G16" s="1">
        <v>29.272665</v>
      </c>
    </row>
    <row r="17" spans="1:7" x14ac:dyDescent="0.25">
      <c r="A17" t="s">
        <v>21</v>
      </c>
      <c r="B17">
        <v>25</v>
      </c>
      <c r="C17">
        <v>576</v>
      </c>
      <c r="D17">
        <v>880</v>
      </c>
      <c r="E17">
        <v>5126</v>
      </c>
      <c r="F17">
        <v>3973</v>
      </c>
      <c r="G17" s="1">
        <v>29.272665</v>
      </c>
    </row>
    <row r="18" spans="1:7" x14ac:dyDescent="0.25">
      <c r="A18" t="s">
        <v>22</v>
      </c>
      <c r="B18">
        <v>25</v>
      </c>
      <c r="C18">
        <v>576</v>
      </c>
      <c r="D18">
        <v>880</v>
      </c>
      <c r="E18">
        <v>5129</v>
      </c>
      <c r="F18">
        <v>3973</v>
      </c>
      <c r="G18" s="1">
        <v>29.272665</v>
      </c>
    </row>
    <row r="19" spans="1:7" x14ac:dyDescent="0.25">
      <c r="A19" t="s">
        <v>23</v>
      </c>
      <c r="B19">
        <v>29</v>
      </c>
      <c r="C19">
        <v>752</v>
      </c>
      <c r="D19">
        <v>1162</v>
      </c>
      <c r="E19">
        <v>6581</v>
      </c>
      <c r="F19">
        <v>4978</v>
      </c>
      <c r="G19" s="1">
        <v>34.451253999999999</v>
      </c>
    </row>
    <row r="20" spans="1:7" x14ac:dyDescent="0.25">
      <c r="A20" t="s">
        <v>24</v>
      </c>
      <c r="B20">
        <v>29</v>
      </c>
      <c r="C20">
        <v>769</v>
      </c>
      <c r="D20">
        <v>1191</v>
      </c>
      <c r="E20">
        <v>6793</v>
      </c>
      <c r="F20">
        <v>5088</v>
      </c>
      <c r="G20" s="1">
        <v>34.936447000000001</v>
      </c>
    </row>
    <row r="21" spans="1:7" x14ac:dyDescent="0.25">
      <c r="A21" t="s">
        <v>25</v>
      </c>
      <c r="B21">
        <v>30</v>
      </c>
      <c r="C21">
        <v>870</v>
      </c>
      <c r="D21">
        <v>1361</v>
      </c>
      <c r="E21">
        <v>7725</v>
      </c>
      <c r="F21">
        <v>5686</v>
      </c>
      <c r="G21" s="1">
        <v>38.476841</v>
      </c>
    </row>
    <row r="22" spans="1:7" x14ac:dyDescent="0.25">
      <c r="A22" t="s">
        <v>26</v>
      </c>
      <c r="B22">
        <v>30</v>
      </c>
      <c r="C22">
        <v>873</v>
      </c>
      <c r="D22">
        <v>1363</v>
      </c>
      <c r="E22">
        <v>7770</v>
      </c>
      <c r="F22">
        <v>5720</v>
      </c>
      <c r="G22" s="1">
        <v>38.567757999999998</v>
      </c>
    </row>
    <row r="23" spans="1:7" x14ac:dyDescent="0.25">
      <c r="A23" t="s">
        <v>27</v>
      </c>
      <c r="B23">
        <v>59</v>
      </c>
      <c r="C23">
        <v>1090</v>
      </c>
      <c r="D23">
        <v>1719</v>
      </c>
      <c r="E23">
        <v>9879</v>
      </c>
      <c r="F23">
        <v>7248</v>
      </c>
      <c r="G23" s="1">
        <v>38.27966</v>
      </c>
    </row>
    <row r="24" spans="1:7" x14ac:dyDescent="0.25">
      <c r="A24" t="s">
        <v>28</v>
      </c>
      <c r="B24">
        <v>59</v>
      </c>
      <c r="C24">
        <v>1093</v>
      </c>
      <c r="D24">
        <v>1723</v>
      </c>
      <c r="E24">
        <v>9922</v>
      </c>
      <c r="F24">
        <v>7275</v>
      </c>
      <c r="G24" s="1">
        <v>38.350639999999999</v>
      </c>
    </row>
    <row r="25" spans="1:7" x14ac:dyDescent="0.25">
      <c r="A25" t="s">
        <v>29</v>
      </c>
      <c r="B25">
        <v>59</v>
      </c>
      <c r="C25">
        <v>1094</v>
      </c>
      <c r="D25">
        <v>1725</v>
      </c>
      <c r="E25">
        <v>9934</v>
      </c>
      <c r="F25">
        <v>7275</v>
      </c>
      <c r="G25" s="1">
        <v>38.346257999999999</v>
      </c>
    </row>
    <row r="26" spans="1:7" x14ac:dyDescent="0.25">
      <c r="A26" t="s">
        <v>30</v>
      </c>
      <c r="B26">
        <v>60</v>
      </c>
      <c r="C26">
        <v>1116</v>
      </c>
      <c r="D26">
        <v>1875</v>
      </c>
      <c r="E26">
        <v>10103</v>
      </c>
      <c r="F26">
        <v>7475</v>
      </c>
      <c r="G26" s="1">
        <v>37.336255999999999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2:X26"/>
  <sheetViews>
    <sheetView workbookViewId="0">
      <selection activeCell="A2" sqref="A2"/>
    </sheetView>
  </sheetViews>
  <sheetFormatPr defaultRowHeight="15" x14ac:dyDescent="0.25"/>
  <cols>
    <col min="5" max="5" width="1.5703125" customWidth="1"/>
    <col min="9" max="9" width="1.5703125" customWidth="1"/>
    <col min="13" max="13" width="1.5703125" customWidth="1"/>
    <col min="17" max="17" width="1.5703125" customWidth="1"/>
    <col min="21" max="21" width="1.5703125" customWidth="1"/>
  </cols>
  <sheetData>
    <row r="2" spans="1:24" x14ac:dyDescent="0.25">
      <c r="A2" s="5" t="s">
        <v>43</v>
      </c>
      <c r="B2" s="6" t="s">
        <v>0</v>
      </c>
      <c r="C2" s="6" t="s">
        <v>31</v>
      </c>
      <c r="D2" s="6" t="s">
        <v>42</v>
      </c>
      <c r="E2" s="6"/>
      <c r="F2" s="6" t="s">
        <v>2</v>
      </c>
      <c r="G2" s="6" t="s">
        <v>1</v>
      </c>
      <c r="H2" s="6" t="s">
        <v>32</v>
      </c>
      <c r="I2" s="6"/>
      <c r="J2" s="6" t="s">
        <v>3</v>
      </c>
      <c r="K2" s="6" t="s">
        <v>33</v>
      </c>
      <c r="L2" s="6" t="s">
        <v>34</v>
      </c>
      <c r="M2" s="6"/>
      <c r="N2" s="6" t="s">
        <v>35</v>
      </c>
      <c r="O2" s="6" t="s">
        <v>36</v>
      </c>
      <c r="P2" s="6" t="s">
        <v>37</v>
      </c>
      <c r="Q2" s="6"/>
      <c r="R2" s="6" t="s">
        <v>38</v>
      </c>
      <c r="S2" s="6" t="s">
        <v>39</v>
      </c>
      <c r="T2" s="6" t="s">
        <v>40</v>
      </c>
      <c r="U2" s="6"/>
      <c r="V2" s="6" t="s">
        <v>4</v>
      </c>
      <c r="W2" s="6" t="s">
        <v>5</v>
      </c>
      <c r="X2" s="6" t="s">
        <v>6</v>
      </c>
    </row>
    <row r="3" spans="1:24" x14ac:dyDescent="0.25">
      <c r="A3" t="s">
        <v>7</v>
      </c>
      <c r="B3">
        <v>172</v>
      </c>
      <c r="C3">
        <v>100</v>
      </c>
      <c r="D3" s="2">
        <f>C3/B3</f>
        <v>0.58139534883720934</v>
      </c>
      <c r="E3" s="2"/>
      <c r="F3" s="1">
        <v>2.4418600000000001</v>
      </c>
      <c r="G3" s="1">
        <v>4.5681450000000003</v>
      </c>
      <c r="H3" s="4" t="s">
        <v>41</v>
      </c>
      <c r="I3" s="2"/>
      <c r="J3" s="1">
        <v>1.2267440000000001</v>
      </c>
      <c r="K3" s="1">
        <v>0.45983069999999998</v>
      </c>
      <c r="L3" s="4" t="s">
        <v>41</v>
      </c>
      <c r="M3" s="2"/>
      <c r="N3" s="1">
        <v>4.4444439999999998</v>
      </c>
      <c r="O3" s="1">
        <v>6.5775740000000003</v>
      </c>
      <c r="P3" s="4" t="s">
        <v>41</v>
      </c>
      <c r="Q3" s="2"/>
      <c r="R3" s="1">
        <v>1.5416669999999999</v>
      </c>
      <c r="S3" s="1">
        <v>0.57988589999999995</v>
      </c>
      <c r="T3" s="4" t="s">
        <v>41</v>
      </c>
      <c r="U3" s="2"/>
      <c r="V3">
        <v>9</v>
      </c>
      <c r="W3">
        <v>9</v>
      </c>
      <c r="X3">
        <v>0</v>
      </c>
    </row>
    <row r="4" spans="1:24" x14ac:dyDescent="0.25">
      <c r="A4" t="s">
        <v>8</v>
      </c>
      <c r="B4">
        <v>242</v>
      </c>
      <c r="C4">
        <v>156</v>
      </c>
      <c r="D4" s="2">
        <f t="shared" ref="D4:D26" si="0">C4/B4</f>
        <v>0.64462809917355368</v>
      </c>
      <c r="E4" s="2"/>
      <c r="F4" s="1">
        <v>2.0165289999999998</v>
      </c>
      <c r="G4" s="1">
        <v>2.1595430000000002</v>
      </c>
      <c r="H4" s="2">
        <v>0.25819714300000002</v>
      </c>
      <c r="I4" s="2"/>
      <c r="J4" s="1">
        <v>1.2644629999999999</v>
      </c>
      <c r="K4" s="1">
        <v>0.64116850000000003</v>
      </c>
      <c r="L4" s="2">
        <v>0.82931209400000006</v>
      </c>
      <c r="M4" s="2"/>
      <c r="N4" s="1">
        <v>3.860465</v>
      </c>
      <c r="O4" s="1">
        <v>2.8082349999999998</v>
      </c>
      <c r="P4" s="2">
        <v>0.62514031000000003</v>
      </c>
      <c r="Q4" s="2"/>
      <c r="R4" s="1">
        <v>1.744186</v>
      </c>
      <c r="S4" s="1">
        <v>0.89687099999999997</v>
      </c>
      <c r="T4" s="2">
        <v>0.282449905</v>
      </c>
      <c r="U4" s="2"/>
      <c r="V4">
        <v>5</v>
      </c>
      <c r="W4">
        <v>1</v>
      </c>
      <c r="X4">
        <v>5</v>
      </c>
    </row>
    <row r="5" spans="1:24" x14ac:dyDescent="0.25">
      <c r="A5" t="s">
        <v>9</v>
      </c>
      <c r="B5">
        <v>212</v>
      </c>
      <c r="C5">
        <v>135</v>
      </c>
      <c r="D5" s="2">
        <f t="shared" si="0"/>
        <v>0.6367924528301887</v>
      </c>
      <c r="E5" s="2"/>
      <c r="F5" s="1">
        <v>3.0849060000000001</v>
      </c>
      <c r="G5" s="1">
        <v>12.232438999999999</v>
      </c>
      <c r="H5" s="2">
        <v>0.78551190400000004</v>
      </c>
      <c r="I5" s="2"/>
      <c r="J5" s="1">
        <v>1.4198109999999999</v>
      </c>
      <c r="K5" s="1">
        <v>1.7274434000000001</v>
      </c>
      <c r="L5" s="2">
        <v>0.60954208200000004</v>
      </c>
      <c r="M5" s="2"/>
      <c r="N5" s="1">
        <v>6.7402600000000001</v>
      </c>
      <c r="O5" s="1">
        <v>19.853677000000001</v>
      </c>
      <c r="P5" s="2">
        <v>0.66805722000000001</v>
      </c>
      <c r="Q5" s="2"/>
      <c r="R5" s="1">
        <v>2.1558440000000001</v>
      </c>
      <c r="S5" s="1">
        <v>2.7244744999999999</v>
      </c>
      <c r="T5" s="2">
        <v>0.67720501099999997</v>
      </c>
      <c r="U5" s="2"/>
      <c r="V5">
        <v>8</v>
      </c>
      <c r="W5">
        <v>5</v>
      </c>
      <c r="X5">
        <v>2</v>
      </c>
    </row>
    <row r="6" spans="1:24" x14ac:dyDescent="0.25">
      <c r="A6" t="s">
        <v>10</v>
      </c>
      <c r="B6">
        <v>300</v>
      </c>
      <c r="C6">
        <v>192</v>
      </c>
      <c r="D6" s="2">
        <f t="shared" si="0"/>
        <v>0.64</v>
      </c>
      <c r="E6" s="2"/>
      <c r="F6" s="1">
        <v>2.1566670000000001</v>
      </c>
      <c r="G6" s="1">
        <v>3.0325090000000001</v>
      </c>
      <c r="H6" s="2">
        <v>0.74705013399999998</v>
      </c>
      <c r="I6" s="2"/>
      <c r="J6" s="1">
        <v>1.316667</v>
      </c>
      <c r="K6" s="1">
        <v>0.88638280000000003</v>
      </c>
      <c r="L6" s="2">
        <v>0.66966495199999998</v>
      </c>
      <c r="M6" s="2"/>
      <c r="N6" s="1">
        <v>4.2129630000000002</v>
      </c>
      <c r="O6" s="1">
        <v>4.3622230000000002</v>
      </c>
      <c r="P6" s="2">
        <v>0.30096220000000001</v>
      </c>
      <c r="Q6" s="2"/>
      <c r="R6" s="1">
        <v>1.8796299999999999</v>
      </c>
      <c r="S6" s="1">
        <v>1.3021735000000001</v>
      </c>
      <c r="T6" s="2">
        <v>0.65715422199999995</v>
      </c>
      <c r="U6" s="2"/>
      <c r="V6">
        <v>9</v>
      </c>
      <c r="W6">
        <v>3</v>
      </c>
      <c r="X6">
        <v>2</v>
      </c>
    </row>
    <row r="7" spans="1:24" x14ac:dyDescent="0.25">
      <c r="A7" t="s">
        <v>11</v>
      </c>
      <c r="B7">
        <v>48</v>
      </c>
      <c r="C7">
        <v>38</v>
      </c>
      <c r="D7" s="2">
        <f t="shared" si="0"/>
        <v>0.79166666666666663</v>
      </c>
      <c r="E7" s="2"/>
      <c r="F7" s="1">
        <v>2.0208330000000001</v>
      </c>
      <c r="G7" s="1">
        <v>3.5699070000000002</v>
      </c>
      <c r="H7" s="2">
        <v>5.4221304999999997E-2</v>
      </c>
      <c r="I7" s="2"/>
      <c r="J7" s="1">
        <v>1.4791669999999999</v>
      </c>
      <c r="K7" s="1">
        <v>1.956871</v>
      </c>
      <c r="L7" s="2">
        <v>0.205083552</v>
      </c>
      <c r="M7" s="2"/>
      <c r="N7" s="1">
        <v>5.9</v>
      </c>
      <c r="O7" s="1">
        <v>6.7404250000000001</v>
      </c>
      <c r="P7" s="2">
        <v>0.65578331999999995</v>
      </c>
      <c r="Q7" s="2"/>
      <c r="R7" s="1">
        <v>3.3</v>
      </c>
      <c r="S7" s="1">
        <v>3.9171985</v>
      </c>
      <c r="T7" s="2">
        <v>0.67125017099999995</v>
      </c>
      <c r="U7" s="2"/>
      <c r="V7">
        <v>4</v>
      </c>
      <c r="W7">
        <v>0</v>
      </c>
      <c r="X7">
        <v>5</v>
      </c>
    </row>
    <row r="8" spans="1:24" x14ac:dyDescent="0.25">
      <c r="A8" t="s">
        <v>12</v>
      </c>
      <c r="B8">
        <v>851</v>
      </c>
      <c r="C8">
        <v>522</v>
      </c>
      <c r="D8" s="2">
        <f t="shared" si="0"/>
        <v>0.61339600470035249</v>
      </c>
      <c r="E8" s="2"/>
      <c r="F8" s="1">
        <v>4.6216220000000003</v>
      </c>
      <c r="G8" s="1">
        <v>16.772321999999999</v>
      </c>
      <c r="H8" s="2">
        <v>1.2037295E-2</v>
      </c>
      <c r="I8" s="2"/>
      <c r="J8" s="1">
        <v>1.79436</v>
      </c>
      <c r="K8" s="1">
        <v>3.1482979000000002</v>
      </c>
      <c r="L8" s="2">
        <v>7.4234378000000004E-2</v>
      </c>
      <c r="M8" s="2"/>
      <c r="N8" s="1">
        <v>10.367781000000001</v>
      </c>
      <c r="O8" s="1">
        <v>25.981026</v>
      </c>
      <c r="P8" s="2">
        <v>0.54636309999999999</v>
      </c>
      <c r="Q8" s="2"/>
      <c r="R8" s="1">
        <v>3.0547110000000002</v>
      </c>
      <c r="S8" s="1">
        <v>4.8050454</v>
      </c>
      <c r="T8" s="2">
        <v>0.95286305699999996</v>
      </c>
      <c r="U8" s="2"/>
      <c r="V8">
        <v>13</v>
      </c>
      <c r="W8">
        <v>9</v>
      </c>
      <c r="X8">
        <v>0</v>
      </c>
    </row>
    <row r="9" spans="1:24" x14ac:dyDescent="0.25">
      <c r="A9" t="s">
        <v>13</v>
      </c>
      <c r="B9">
        <v>95</v>
      </c>
      <c r="C9">
        <v>73</v>
      </c>
      <c r="D9" s="2">
        <f t="shared" si="0"/>
        <v>0.76842105263157889</v>
      </c>
      <c r="E9" s="2"/>
      <c r="F9" s="1">
        <v>7.1157890000000004</v>
      </c>
      <c r="G9" s="1">
        <v>35.138590000000001</v>
      </c>
      <c r="H9" s="2">
        <v>2.3264179999999998E-3</v>
      </c>
      <c r="I9" s="2"/>
      <c r="J9" s="1">
        <v>2.178947</v>
      </c>
      <c r="K9" s="1">
        <v>5.5370683999999999</v>
      </c>
      <c r="L9" s="2">
        <v>0.201736265</v>
      </c>
      <c r="M9" s="2"/>
      <c r="N9" s="1">
        <v>27.409091</v>
      </c>
      <c r="O9" s="1">
        <v>70.465566999999993</v>
      </c>
      <c r="P9" s="2">
        <v>0.38728351</v>
      </c>
      <c r="Q9" s="2"/>
      <c r="R9" s="1">
        <v>6.0909089999999999</v>
      </c>
      <c r="S9" s="1">
        <v>10.7875991</v>
      </c>
      <c r="T9" s="2">
        <v>0.216031795</v>
      </c>
      <c r="U9" s="2"/>
      <c r="V9">
        <v>10</v>
      </c>
      <c r="W9">
        <v>1</v>
      </c>
      <c r="X9">
        <v>4</v>
      </c>
    </row>
    <row r="10" spans="1:24" x14ac:dyDescent="0.25">
      <c r="A10" t="s">
        <v>14</v>
      </c>
      <c r="B10">
        <v>298</v>
      </c>
      <c r="C10">
        <v>215</v>
      </c>
      <c r="D10" s="2">
        <f t="shared" si="0"/>
        <v>0.72147651006711411</v>
      </c>
      <c r="E10" s="2"/>
      <c r="F10" s="1">
        <v>4.124161</v>
      </c>
      <c r="G10" s="1">
        <v>33.874715000000002</v>
      </c>
      <c r="H10" s="2">
        <v>0.35076238300000001</v>
      </c>
      <c r="I10" s="2"/>
      <c r="J10" s="1">
        <v>1.6174500000000001</v>
      </c>
      <c r="K10" s="1">
        <v>3.8579094999999999</v>
      </c>
      <c r="L10" s="2">
        <v>0.96694585300000002</v>
      </c>
      <c r="M10" s="2"/>
      <c r="N10" s="1">
        <v>12.216867000000001</v>
      </c>
      <c r="O10" s="1">
        <v>63.751815000000001</v>
      </c>
      <c r="P10" s="2">
        <v>0.77166162999999999</v>
      </c>
      <c r="Q10" s="2"/>
      <c r="R10" s="1">
        <v>3.2168670000000001</v>
      </c>
      <c r="S10" s="1">
        <v>7.0935357000000003</v>
      </c>
      <c r="T10" s="2">
        <v>0.35010660799999999</v>
      </c>
      <c r="U10" s="2"/>
      <c r="V10">
        <v>9</v>
      </c>
      <c r="W10">
        <v>0</v>
      </c>
      <c r="X10">
        <v>1</v>
      </c>
    </row>
    <row r="11" spans="1:24" x14ac:dyDescent="0.25">
      <c r="A11" t="s">
        <v>15</v>
      </c>
      <c r="B11">
        <v>78</v>
      </c>
      <c r="C11">
        <v>49</v>
      </c>
      <c r="D11" s="2">
        <f t="shared" si="0"/>
        <v>0.62820512820512819</v>
      </c>
      <c r="E11" s="2"/>
      <c r="F11" s="1">
        <v>3.4743590000000002</v>
      </c>
      <c r="G11" s="1">
        <v>12.792778</v>
      </c>
      <c r="H11" s="2">
        <v>0.124301485</v>
      </c>
      <c r="I11" s="2"/>
      <c r="J11" s="1">
        <v>1.5</v>
      </c>
      <c r="K11" s="1">
        <v>1.9052218000000001</v>
      </c>
      <c r="L11" s="2">
        <v>0.46865695699999999</v>
      </c>
      <c r="M11" s="2"/>
      <c r="N11" s="1">
        <v>7.6551720000000003</v>
      </c>
      <c r="O11" s="1">
        <v>20.523986000000001</v>
      </c>
      <c r="P11" s="2">
        <v>0.87670720000000002</v>
      </c>
      <c r="Q11" s="2"/>
      <c r="R11" s="1">
        <v>2.3448280000000001</v>
      </c>
      <c r="S11" s="1">
        <v>2.9673926000000002</v>
      </c>
      <c r="T11" s="2">
        <v>0.33017444600000001</v>
      </c>
      <c r="U11" s="2"/>
      <c r="V11">
        <v>4</v>
      </c>
      <c r="W11">
        <v>0</v>
      </c>
      <c r="X11">
        <v>5</v>
      </c>
    </row>
    <row r="12" spans="1:24" x14ac:dyDescent="0.25">
      <c r="A12" t="s">
        <v>16</v>
      </c>
      <c r="B12">
        <v>382</v>
      </c>
      <c r="C12">
        <v>228</v>
      </c>
      <c r="D12" s="2">
        <f t="shared" si="0"/>
        <v>0.59685863874345546</v>
      </c>
      <c r="E12" s="2"/>
      <c r="F12" s="1">
        <v>4.4214659999999997</v>
      </c>
      <c r="G12" s="1">
        <v>15.611856</v>
      </c>
      <c r="H12" s="2">
        <v>0.54248482499999995</v>
      </c>
      <c r="I12" s="2"/>
      <c r="J12" s="1">
        <v>1.929319</v>
      </c>
      <c r="K12" s="1">
        <v>3.8355608000000001</v>
      </c>
      <c r="L12" s="2">
        <v>0.25103197100000002</v>
      </c>
      <c r="M12" s="2"/>
      <c r="N12" s="1">
        <v>9.4870129999999993</v>
      </c>
      <c r="O12" s="1">
        <v>23.741593000000002</v>
      </c>
      <c r="P12" s="2">
        <v>0.67025718000000001</v>
      </c>
      <c r="Q12" s="2"/>
      <c r="R12" s="1">
        <v>3.3051949999999999</v>
      </c>
      <c r="S12" s="1">
        <v>5.7829227000000003</v>
      </c>
      <c r="T12" s="2">
        <v>0.15554171</v>
      </c>
      <c r="U12" s="2"/>
      <c r="V12">
        <v>10</v>
      </c>
      <c r="W12">
        <v>6</v>
      </c>
      <c r="X12">
        <v>0</v>
      </c>
    </row>
    <row r="13" spans="1:24" x14ac:dyDescent="0.25">
      <c r="A13" t="s">
        <v>17</v>
      </c>
      <c r="B13">
        <v>243</v>
      </c>
      <c r="C13">
        <v>166</v>
      </c>
      <c r="D13" s="2">
        <f t="shared" si="0"/>
        <v>0.6831275720164609</v>
      </c>
      <c r="E13" s="2"/>
      <c r="F13" s="1">
        <v>2.584362</v>
      </c>
      <c r="G13" s="1">
        <v>4.3980750000000004</v>
      </c>
      <c r="H13" s="2">
        <v>3.1614322E-2</v>
      </c>
      <c r="I13" s="2"/>
      <c r="J13" s="1">
        <v>1.4979420000000001</v>
      </c>
      <c r="K13" s="1">
        <v>1.6195461</v>
      </c>
      <c r="L13" s="2">
        <v>9.8604003999999995E-2</v>
      </c>
      <c r="M13" s="2"/>
      <c r="N13" s="1">
        <v>6</v>
      </c>
      <c r="O13" s="1">
        <v>6.6550339999999997</v>
      </c>
      <c r="P13" s="2">
        <v>0.86143334000000005</v>
      </c>
      <c r="Q13" s="2"/>
      <c r="R13" s="1">
        <v>2.5714290000000002</v>
      </c>
      <c r="S13" s="1">
        <v>2.5773741000000001</v>
      </c>
      <c r="T13" s="2">
        <v>0.95186293300000002</v>
      </c>
      <c r="U13" s="2"/>
      <c r="V13">
        <v>8</v>
      </c>
      <c r="W13">
        <v>1</v>
      </c>
      <c r="X13">
        <v>3</v>
      </c>
    </row>
    <row r="14" spans="1:24" x14ac:dyDescent="0.25">
      <c r="A14" t="s">
        <v>18</v>
      </c>
      <c r="B14">
        <v>64</v>
      </c>
      <c r="C14">
        <v>47</v>
      </c>
      <c r="D14" s="2">
        <f t="shared" si="0"/>
        <v>0.734375</v>
      </c>
      <c r="E14" s="2"/>
      <c r="F14" s="1">
        <v>32.25</v>
      </c>
      <c r="G14" s="1">
        <v>139.87749700000001</v>
      </c>
      <c r="H14" s="2">
        <v>0.332179426</v>
      </c>
      <c r="I14" s="2"/>
      <c r="J14" s="1">
        <v>4.21875</v>
      </c>
      <c r="K14" s="1">
        <v>14.0378951</v>
      </c>
      <c r="L14" s="2">
        <v>0.470544242</v>
      </c>
      <c r="M14" s="2"/>
      <c r="N14" s="1">
        <v>118.647059</v>
      </c>
      <c r="O14" s="1">
        <v>257.37204100000002</v>
      </c>
      <c r="P14" s="2">
        <v>0.29986396999999998</v>
      </c>
      <c r="Q14" s="2"/>
      <c r="R14" s="1">
        <v>13.117647</v>
      </c>
      <c r="S14" s="1">
        <v>25.7169262</v>
      </c>
      <c r="T14" s="2">
        <v>0.89325838499999999</v>
      </c>
      <c r="U14" s="2"/>
      <c r="V14">
        <v>5</v>
      </c>
      <c r="W14">
        <v>0</v>
      </c>
      <c r="X14">
        <v>3</v>
      </c>
    </row>
    <row r="15" spans="1:24" x14ac:dyDescent="0.25">
      <c r="A15" t="s">
        <v>19</v>
      </c>
      <c r="B15">
        <v>175</v>
      </c>
      <c r="C15">
        <v>133</v>
      </c>
      <c r="D15" s="2">
        <f t="shared" si="0"/>
        <v>0.76</v>
      </c>
      <c r="E15" s="2"/>
      <c r="F15" s="1">
        <v>5.32</v>
      </c>
      <c r="G15" s="1">
        <v>46.951434999999996</v>
      </c>
      <c r="H15" s="2">
        <v>0.81544718299999996</v>
      </c>
      <c r="I15" s="2"/>
      <c r="J15" s="1">
        <v>1.714286</v>
      </c>
      <c r="K15" s="1">
        <v>5.1112419999999998</v>
      </c>
      <c r="L15" s="2">
        <v>0.83499780300000004</v>
      </c>
      <c r="M15" s="2"/>
      <c r="N15" s="1">
        <v>19</v>
      </c>
      <c r="O15" s="1">
        <v>95.410538000000003</v>
      </c>
      <c r="P15" s="2">
        <v>0.29875014999999999</v>
      </c>
      <c r="Q15" s="2"/>
      <c r="R15" s="1">
        <v>3.9761899999999999</v>
      </c>
      <c r="S15" s="1">
        <v>10.196814699999999</v>
      </c>
      <c r="T15" s="2">
        <v>0.66857230199999995</v>
      </c>
      <c r="U15" s="2"/>
      <c r="V15">
        <v>8</v>
      </c>
      <c r="W15">
        <v>3</v>
      </c>
      <c r="X15">
        <v>0</v>
      </c>
    </row>
    <row r="16" spans="1:24" x14ac:dyDescent="0.25">
      <c r="A16" t="s">
        <v>20</v>
      </c>
      <c r="B16">
        <v>728</v>
      </c>
      <c r="C16">
        <v>539</v>
      </c>
      <c r="D16" s="2">
        <f t="shared" si="0"/>
        <v>0.74038461538461542</v>
      </c>
      <c r="E16" s="2"/>
      <c r="F16" s="1">
        <v>2.0989010000000001</v>
      </c>
      <c r="G16" s="1">
        <v>5.7488570000000001</v>
      </c>
      <c r="H16" s="2">
        <v>0.68000367900000003</v>
      </c>
      <c r="I16" s="2"/>
      <c r="J16" s="1">
        <v>1.2967029999999999</v>
      </c>
      <c r="K16" s="1">
        <v>1.5917220999999999</v>
      </c>
      <c r="L16" s="2">
        <v>0.112871603</v>
      </c>
      <c r="M16" s="2"/>
      <c r="N16" s="1">
        <v>5.2328039999999998</v>
      </c>
      <c r="O16" s="1">
        <v>10.698915</v>
      </c>
      <c r="P16" s="2">
        <v>0.47088383</v>
      </c>
      <c r="Q16" s="2"/>
      <c r="R16" s="1">
        <v>2.1428569999999998</v>
      </c>
      <c r="S16" s="1">
        <v>2.9707284999999999</v>
      </c>
      <c r="T16" s="2">
        <v>8.5922069999999993E-3</v>
      </c>
      <c r="U16" s="2"/>
      <c r="V16">
        <v>11</v>
      </c>
      <c r="W16">
        <v>4</v>
      </c>
      <c r="X16">
        <v>1</v>
      </c>
    </row>
    <row r="17" spans="1:24" x14ac:dyDescent="0.25">
      <c r="A17" t="s">
        <v>21</v>
      </c>
      <c r="B17">
        <v>32</v>
      </c>
      <c r="C17">
        <v>21</v>
      </c>
      <c r="D17" s="2">
        <f t="shared" si="0"/>
        <v>0.65625</v>
      </c>
      <c r="E17" s="2"/>
      <c r="F17" s="1">
        <v>1.65625</v>
      </c>
      <c r="G17" s="1">
        <v>1.6384369999999999</v>
      </c>
      <c r="H17" s="2">
        <v>0.49260570199999998</v>
      </c>
      <c r="I17" s="2"/>
      <c r="J17" s="1">
        <v>1.15625</v>
      </c>
      <c r="K17" s="1">
        <v>0.36890200000000001</v>
      </c>
      <c r="L17" s="2">
        <v>0.69603371999999997</v>
      </c>
      <c r="M17" s="2"/>
      <c r="N17" s="1">
        <v>2.9090910000000001</v>
      </c>
      <c r="O17" s="1">
        <v>2.3855629999999999</v>
      </c>
      <c r="P17" s="2">
        <v>5.9021799999999999E-2</v>
      </c>
      <c r="Q17" s="2"/>
      <c r="R17" s="1">
        <v>1.454545</v>
      </c>
      <c r="S17" s="1">
        <v>0.52223299999999995</v>
      </c>
      <c r="T17" s="2">
        <v>0.533333316</v>
      </c>
      <c r="U17" s="2"/>
      <c r="V17">
        <v>5</v>
      </c>
      <c r="W17">
        <v>1</v>
      </c>
      <c r="X17">
        <v>7</v>
      </c>
    </row>
    <row r="18" spans="1:24" x14ac:dyDescent="0.25">
      <c r="A18" t="s">
        <v>22</v>
      </c>
      <c r="B18">
        <v>54</v>
      </c>
      <c r="C18">
        <v>37</v>
      </c>
      <c r="D18" s="2">
        <f t="shared" si="0"/>
        <v>0.68518518518518523</v>
      </c>
      <c r="E18" s="2"/>
      <c r="F18" s="1">
        <v>3.0555560000000002</v>
      </c>
      <c r="G18" s="1">
        <v>7.8702129999999997</v>
      </c>
      <c r="H18" s="2">
        <v>0.98708565299999995</v>
      </c>
      <c r="I18" s="2"/>
      <c r="J18" s="1">
        <v>1.5555559999999999</v>
      </c>
      <c r="K18" s="1">
        <v>1.5861031999999999</v>
      </c>
      <c r="L18" s="2">
        <v>0.39120260000000001</v>
      </c>
      <c r="M18" s="2"/>
      <c r="N18" s="1">
        <v>7.5294119999999998</v>
      </c>
      <c r="O18" s="1">
        <v>13.196199999999999</v>
      </c>
      <c r="P18" s="2">
        <v>0.22877706</v>
      </c>
      <c r="Q18" s="2"/>
      <c r="R18" s="1">
        <v>2.7647059999999999</v>
      </c>
      <c r="S18" s="1">
        <v>2.4629609000000001</v>
      </c>
      <c r="T18" s="2">
        <v>9.0349474999999999E-2</v>
      </c>
      <c r="U18" s="2"/>
      <c r="V18">
        <v>6</v>
      </c>
      <c r="W18">
        <v>1</v>
      </c>
      <c r="X18">
        <v>0</v>
      </c>
    </row>
    <row r="19" spans="1:24" x14ac:dyDescent="0.25">
      <c r="A19" t="s">
        <v>23</v>
      </c>
      <c r="B19">
        <v>782</v>
      </c>
      <c r="C19">
        <v>551</v>
      </c>
      <c r="D19" s="2">
        <f t="shared" si="0"/>
        <v>0.70460358056265981</v>
      </c>
      <c r="E19" s="2"/>
      <c r="F19" s="1">
        <v>3.4552429999999998</v>
      </c>
      <c r="G19" s="1">
        <v>27.413277000000001</v>
      </c>
      <c r="H19" s="2">
        <v>0.86943750600000003</v>
      </c>
      <c r="I19" s="2"/>
      <c r="J19" s="1">
        <v>1.507673</v>
      </c>
      <c r="K19" s="1">
        <v>2.8210508000000001</v>
      </c>
      <c r="L19" s="2">
        <v>0.43373219800000001</v>
      </c>
      <c r="M19" s="2"/>
      <c r="N19" s="1">
        <v>9.3116880000000002</v>
      </c>
      <c r="O19" s="1">
        <v>50.029015999999999</v>
      </c>
      <c r="P19" s="2">
        <v>0.51089580000000001</v>
      </c>
      <c r="Q19" s="2"/>
      <c r="R19" s="1">
        <v>2.7186149999999998</v>
      </c>
      <c r="S19" s="1">
        <v>4.9933477000000002</v>
      </c>
      <c r="T19" s="2">
        <v>0.54045169100000001</v>
      </c>
      <c r="U19" s="2"/>
      <c r="V19">
        <v>13</v>
      </c>
      <c r="W19">
        <v>7</v>
      </c>
      <c r="X19">
        <v>0</v>
      </c>
    </row>
    <row r="20" spans="1:24" x14ac:dyDescent="0.25">
      <c r="A20" t="s">
        <v>24</v>
      </c>
      <c r="B20">
        <v>456</v>
      </c>
      <c r="C20">
        <v>346</v>
      </c>
      <c r="D20" s="2">
        <f t="shared" si="0"/>
        <v>0.75877192982456143</v>
      </c>
      <c r="E20" s="2"/>
      <c r="F20" s="1">
        <v>1.844298</v>
      </c>
      <c r="G20" s="1">
        <v>2.385831</v>
      </c>
      <c r="H20" s="2">
        <v>3.0939641E-2</v>
      </c>
      <c r="I20" s="2"/>
      <c r="J20" s="1">
        <v>1.3728070000000001</v>
      </c>
      <c r="K20" s="1">
        <v>1.2176566</v>
      </c>
      <c r="L20" s="2">
        <v>0.147376485</v>
      </c>
      <c r="M20" s="2"/>
      <c r="N20" s="1">
        <v>4.5</v>
      </c>
      <c r="O20" s="1">
        <v>3.7921939999999998</v>
      </c>
      <c r="P20" s="2">
        <v>0.43844899999999998</v>
      </c>
      <c r="Q20" s="2"/>
      <c r="R20" s="1">
        <v>2.545455</v>
      </c>
      <c r="S20" s="1">
        <v>2.0881332000000001</v>
      </c>
      <c r="T20" s="2">
        <v>0.56657838500000002</v>
      </c>
      <c r="U20" s="2"/>
      <c r="V20">
        <v>9</v>
      </c>
      <c r="W20">
        <v>0</v>
      </c>
      <c r="X20">
        <v>4</v>
      </c>
    </row>
    <row r="21" spans="1:24" x14ac:dyDescent="0.25">
      <c r="A21" t="s">
        <v>25</v>
      </c>
      <c r="B21">
        <v>544</v>
      </c>
      <c r="C21">
        <v>386</v>
      </c>
      <c r="D21" s="2">
        <f t="shared" si="0"/>
        <v>0.7095588235294118</v>
      </c>
      <c r="E21" s="2"/>
      <c r="F21" s="1">
        <v>1.9834560000000001</v>
      </c>
      <c r="G21" s="1">
        <v>3.3093569999999999</v>
      </c>
      <c r="H21" s="2">
        <v>0.118777176</v>
      </c>
      <c r="I21" s="2"/>
      <c r="J21" s="1">
        <v>1.378676</v>
      </c>
      <c r="K21" s="1">
        <v>1.1877154000000001</v>
      </c>
      <c r="L21" s="2">
        <v>0.126428069</v>
      </c>
      <c r="M21" s="2"/>
      <c r="N21" s="1">
        <v>4.3860760000000001</v>
      </c>
      <c r="O21" s="1">
        <v>5.4489229999999997</v>
      </c>
      <c r="P21" s="2">
        <v>0.33041669000000001</v>
      </c>
      <c r="Q21" s="2"/>
      <c r="R21" s="1">
        <v>2.3037969999999999</v>
      </c>
      <c r="S21" s="1">
        <v>1.9144401</v>
      </c>
      <c r="T21" s="2">
        <v>0.65674330299999994</v>
      </c>
      <c r="U21" s="2"/>
      <c r="V21">
        <v>10</v>
      </c>
      <c r="W21">
        <v>2</v>
      </c>
      <c r="X21">
        <v>1</v>
      </c>
    </row>
    <row r="22" spans="1:24" x14ac:dyDescent="0.25">
      <c r="A22" t="s">
        <v>26</v>
      </c>
      <c r="B22">
        <v>67</v>
      </c>
      <c r="C22">
        <v>50</v>
      </c>
      <c r="D22" s="2">
        <f t="shared" si="0"/>
        <v>0.74626865671641796</v>
      </c>
      <c r="E22" s="2"/>
      <c r="F22" s="1">
        <v>3.0895519999999999</v>
      </c>
      <c r="G22" s="1">
        <v>8.7814049999999995</v>
      </c>
      <c r="H22" s="2">
        <v>0.62028999399999996</v>
      </c>
      <c r="I22" s="2"/>
      <c r="J22" s="1">
        <v>1.9552240000000001</v>
      </c>
      <c r="K22" s="1">
        <v>3.6366520000000002</v>
      </c>
      <c r="L22" s="2">
        <v>0.94792580100000001</v>
      </c>
      <c r="M22" s="2"/>
      <c r="N22" s="1">
        <v>9.2352939999999997</v>
      </c>
      <c r="O22" s="1">
        <v>16.257804</v>
      </c>
      <c r="P22" s="2">
        <v>0.49068843000000001</v>
      </c>
      <c r="Q22" s="2"/>
      <c r="R22" s="1">
        <v>4.7647060000000003</v>
      </c>
      <c r="S22" s="1">
        <v>6.5815026000000003</v>
      </c>
      <c r="T22" s="2">
        <v>0.195032182</v>
      </c>
      <c r="U22" s="2"/>
      <c r="V22">
        <v>7</v>
      </c>
      <c r="W22">
        <v>1</v>
      </c>
      <c r="X22">
        <v>4</v>
      </c>
    </row>
    <row r="23" spans="1:24" x14ac:dyDescent="0.25">
      <c r="A23" t="s">
        <v>27</v>
      </c>
      <c r="B23">
        <v>108</v>
      </c>
      <c r="C23">
        <v>78</v>
      </c>
      <c r="D23" s="2">
        <f t="shared" si="0"/>
        <v>0.72222222222222221</v>
      </c>
      <c r="E23" s="2"/>
      <c r="F23" s="1">
        <v>1.8148150000000001</v>
      </c>
      <c r="G23" s="1">
        <v>2.8256109999999999</v>
      </c>
      <c r="H23" s="2">
        <v>0.85614001900000003</v>
      </c>
      <c r="I23" s="2"/>
      <c r="J23" s="1">
        <v>1.4074070000000001</v>
      </c>
      <c r="K23" s="1">
        <v>1.3877773</v>
      </c>
      <c r="L23" s="2">
        <v>0.93358988499999995</v>
      </c>
      <c r="M23" s="2"/>
      <c r="N23" s="1">
        <v>3.9333330000000002</v>
      </c>
      <c r="O23" s="1">
        <v>4.7989459999999999</v>
      </c>
      <c r="P23" s="2">
        <v>0.34889904999999999</v>
      </c>
      <c r="Q23" s="2"/>
      <c r="R23" s="1">
        <v>2.4666670000000002</v>
      </c>
      <c r="S23" s="1">
        <v>2.3449627999999998</v>
      </c>
      <c r="T23" s="2">
        <v>0.38292050399999999</v>
      </c>
      <c r="U23" s="2"/>
      <c r="V23">
        <v>7</v>
      </c>
      <c r="W23">
        <v>2</v>
      </c>
      <c r="X23">
        <v>2</v>
      </c>
    </row>
    <row r="24" spans="1:24" x14ac:dyDescent="0.25">
      <c r="A24" t="s">
        <v>28</v>
      </c>
      <c r="B24">
        <v>92</v>
      </c>
      <c r="C24">
        <v>79</v>
      </c>
      <c r="D24" s="2">
        <f t="shared" si="0"/>
        <v>0.85869565217391308</v>
      </c>
      <c r="E24" s="2"/>
      <c r="F24" s="1">
        <v>1.7065220000000001</v>
      </c>
      <c r="G24" s="1">
        <v>5.1130899999999997</v>
      </c>
      <c r="H24" s="2">
        <v>1.4912781999999999E-2</v>
      </c>
      <c r="I24" s="2"/>
      <c r="J24" s="1">
        <v>1.2826090000000001</v>
      </c>
      <c r="K24" s="1">
        <v>1.8946198000000001</v>
      </c>
      <c r="L24" s="2">
        <v>3.0733666E-2</v>
      </c>
      <c r="M24" s="2"/>
      <c r="N24" s="1">
        <v>6</v>
      </c>
      <c r="O24" s="1">
        <v>13.228757</v>
      </c>
      <c r="P24" s="2">
        <v>0.31913543999999999</v>
      </c>
      <c r="Q24" s="2"/>
      <c r="R24" s="1">
        <v>3</v>
      </c>
      <c r="S24" s="1">
        <v>4.8476799000000002</v>
      </c>
      <c r="T24" s="2">
        <v>0.54085114099999998</v>
      </c>
      <c r="U24" s="2"/>
      <c r="V24">
        <v>6</v>
      </c>
      <c r="W24">
        <v>2</v>
      </c>
      <c r="X24">
        <v>3</v>
      </c>
    </row>
    <row r="25" spans="1:24" x14ac:dyDescent="0.25">
      <c r="A25" t="s">
        <v>29</v>
      </c>
      <c r="B25">
        <v>7</v>
      </c>
      <c r="C25">
        <v>4</v>
      </c>
      <c r="D25" s="2">
        <f t="shared" si="0"/>
        <v>0.5714285714285714</v>
      </c>
      <c r="E25" s="2"/>
      <c r="F25" s="1">
        <v>12.571429</v>
      </c>
      <c r="G25" s="1">
        <v>29.302202000000001</v>
      </c>
      <c r="H25" s="2">
        <v>3.3877859000000003E-2</v>
      </c>
      <c r="I25" s="2"/>
      <c r="J25" s="1">
        <v>2.8571430000000002</v>
      </c>
      <c r="K25" s="1">
        <v>4.0590874000000001</v>
      </c>
      <c r="L25" s="2">
        <v>5.6574659999999999E-3</v>
      </c>
      <c r="M25" s="2"/>
      <c r="N25" s="1">
        <v>28</v>
      </c>
      <c r="O25" s="1">
        <v>44.170126000000003</v>
      </c>
      <c r="P25" s="2">
        <v>0.29060657000000001</v>
      </c>
      <c r="Q25" s="2"/>
      <c r="R25" s="1">
        <v>5.3333329999999997</v>
      </c>
      <c r="S25" s="1">
        <v>5.7735026999999999</v>
      </c>
      <c r="T25" s="2">
        <v>0.24223820400000001</v>
      </c>
      <c r="U25" s="2"/>
      <c r="V25">
        <v>2</v>
      </c>
      <c r="W25">
        <v>0</v>
      </c>
      <c r="X25">
        <v>4</v>
      </c>
    </row>
    <row r="26" spans="1:24" x14ac:dyDescent="0.25">
      <c r="A26" t="s">
        <v>30</v>
      </c>
      <c r="B26">
        <v>64</v>
      </c>
      <c r="C26">
        <v>36</v>
      </c>
      <c r="D26" s="2">
        <f t="shared" si="0"/>
        <v>0.5625</v>
      </c>
      <c r="E26" s="2"/>
      <c r="F26" s="1">
        <v>7.671875</v>
      </c>
      <c r="G26" s="1">
        <v>21.987770999999999</v>
      </c>
      <c r="H26" s="2">
        <v>0.98297856100000003</v>
      </c>
      <c r="I26" s="2"/>
      <c r="J26" s="1">
        <v>2.46875</v>
      </c>
      <c r="K26" s="1">
        <v>5.8090481</v>
      </c>
      <c r="L26" s="2">
        <v>0.399796396</v>
      </c>
      <c r="M26" s="2"/>
      <c r="N26" s="1">
        <v>16.25</v>
      </c>
      <c r="O26" s="1">
        <v>31.502645000000001</v>
      </c>
      <c r="P26" s="2">
        <v>1</v>
      </c>
      <c r="Q26" s="2"/>
      <c r="R26" s="1">
        <v>4.3571429999999998</v>
      </c>
      <c r="S26" s="1">
        <v>8.4949408999999996</v>
      </c>
      <c r="T26" s="2">
        <v>0.30644104799999999</v>
      </c>
      <c r="U26" s="2"/>
      <c r="V26">
        <v>6</v>
      </c>
      <c r="W26">
        <v>4</v>
      </c>
      <c r="X26">
        <v>0</v>
      </c>
    </row>
  </sheetData>
  <conditionalFormatting sqref="H3:H26">
    <cfRule type="cellIs" dxfId="3" priority="7" operator="greaterThan">
      <formula>0.05</formula>
    </cfRule>
  </conditionalFormatting>
  <conditionalFormatting sqref="L3:L26">
    <cfRule type="cellIs" dxfId="2" priority="3" operator="greaterThan">
      <formula>0.05</formula>
    </cfRule>
  </conditionalFormatting>
  <conditionalFormatting sqref="P3:P26">
    <cfRule type="cellIs" dxfId="1" priority="2" operator="greaterThan">
      <formula>0.05</formula>
    </cfRule>
  </conditionalFormatting>
  <conditionalFormatting sqref="T3:T26">
    <cfRule type="cellIs" dxfId="0" priority="1" operator="greaterThan">
      <formula>0.05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2:H26"/>
  <sheetViews>
    <sheetView workbookViewId="0">
      <selection activeCell="A2" sqref="A2"/>
    </sheetView>
  </sheetViews>
  <sheetFormatPr defaultRowHeight="15" x14ac:dyDescent="0.25"/>
  <cols>
    <col min="1" max="1" width="15.85546875" bestFit="1" customWidth="1"/>
    <col min="2" max="8" width="12.42578125" customWidth="1"/>
  </cols>
  <sheetData>
    <row r="2" spans="1:8" x14ac:dyDescent="0.25">
      <c r="A2" t="s">
        <v>43</v>
      </c>
      <c r="B2" t="s">
        <v>50</v>
      </c>
      <c r="C2" t="s">
        <v>51</v>
      </c>
      <c r="D2" t="s">
        <v>52</v>
      </c>
      <c r="E2" t="s">
        <v>55</v>
      </c>
      <c r="F2" t="s">
        <v>56</v>
      </c>
      <c r="G2" t="s">
        <v>53</v>
      </c>
      <c r="H2" t="s">
        <v>54</v>
      </c>
    </row>
    <row r="3" spans="1:8" x14ac:dyDescent="0.25">
      <c r="A3" t="s">
        <v>7</v>
      </c>
      <c r="B3" s="7">
        <v>362</v>
      </c>
      <c r="C3" s="7">
        <v>206</v>
      </c>
      <c r="D3" s="7">
        <v>312</v>
      </c>
      <c r="E3" s="8">
        <v>0.67359999999999998</v>
      </c>
      <c r="F3" s="8">
        <v>39</v>
      </c>
      <c r="G3" s="8">
        <v>1.7911999999999999</v>
      </c>
      <c r="H3" s="7">
        <v>-1867</v>
      </c>
    </row>
    <row r="4" spans="1:8" x14ac:dyDescent="0.25">
      <c r="A4" t="s">
        <v>8</v>
      </c>
      <c r="B4" s="7">
        <v>803</v>
      </c>
      <c r="C4" s="7">
        <v>365</v>
      </c>
      <c r="D4" s="7">
        <v>876</v>
      </c>
      <c r="E4" s="8">
        <v>0.74170000000000003</v>
      </c>
      <c r="F4" s="8">
        <v>33.692300000000003</v>
      </c>
      <c r="G4" s="8">
        <v>4.1135000000000002</v>
      </c>
      <c r="H4" s="7">
        <v>-4011</v>
      </c>
    </row>
    <row r="5" spans="1:8" x14ac:dyDescent="0.25">
      <c r="A5" t="s">
        <v>9</v>
      </c>
      <c r="B5" s="7">
        <v>855</v>
      </c>
      <c r="C5" s="7">
        <v>402</v>
      </c>
      <c r="D5" s="7">
        <v>906</v>
      </c>
      <c r="E5" s="8">
        <v>0.83169999999999999</v>
      </c>
      <c r="F5" s="8">
        <v>56.625</v>
      </c>
      <c r="G5" s="8">
        <v>4.0193000000000003</v>
      </c>
      <c r="H5" s="7">
        <v>-4843</v>
      </c>
    </row>
    <row r="6" spans="1:8" x14ac:dyDescent="0.25">
      <c r="A6" t="s">
        <v>10</v>
      </c>
      <c r="B6" s="7">
        <v>1228</v>
      </c>
      <c r="C6" s="7">
        <v>556</v>
      </c>
      <c r="D6" s="7">
        <v>1344</v>
      </c>
      <c r="E6" s="8">
        <v>0.82709999999999995</v>
      </c>
      <c r="F6" s="8">
        <v>51.692300000000003</v>
      </c>
      <c r="G6" s="8">
        <v>5.8273999999999999</v>
      </c>
      <c r="H6" s="7">
        <v>-8443</v>
      </c>
    </row>
    <row r="7" spans="1:8" x14ac:dyDescent="0.25">
      <c r="A7" t="s">
        <v>11</v>
      </c>
      <c r="B7" s="7">
        <v>1230</v>
      </c>
      <c r="C7" s="7">
        <v>557</v>
      </c>
      <c r="D7" s="7">
        <v>1346</v>
      </c>
      <c r="E7" s="8">
        <v>0.82579999999999998</v>
      </c>
      <c r="F7" s="8">
        <v>51.769199999999998</v>
      </c>
      <c r="G7" s="8">
        <v>5.8512000000000004</v>
      </c>
      <c r="H7" s="7">
        <v>-8441</v>
      </c>
    </row>
    <row r="8" spans="1:8" x14ac:dyDescent="0.25">
      <c r="A8" t="s">
        <v>12</v>
      </c>
      <c r="B8" s="7">
        <v>1893</v>
      </c>
      <c r="C8" s="7">
        <v>759</v>
      </c>
      <c r="D8" s="7">
        <v>2268</v>
      </c>
      <c r="E8" s="8">
        <v>0.8075</v>
      </c>
      <c r="F8" s="8">
        <v>54</v>
      </c>
      <c r="G8" s="8">
        <v>9.8537999999999997</v>
      </c>
      <c r="H8" s="7">
        <v>-13471</v>
      </c>
    </row>
    <row r="9" spans="1:8" x14ac:dyDescent="0.25">
      <c r="A9" t="s">
        <v>13</v>
      </c>
      <c r="B9" s="7">
        <v>1894</v>
      </c>
      <c r="C9" s="7">
        <v>759</v>
      </c>
      <c r="D9" s="7">
        <v>2270</v>
      </c>
      <c r="E9" s="8">
        <v>0.8075</v>
      </c>
      <c r="F9" s="8">
        <v>54.047600000000003</v>
      </c>
      <c r="G9" s="8">
        <v>9.8518000000000008</v>
      </c>
      <c r="H9" s="7">
        <v>-13471</v>
      </c>
    </row>
    <row r="10" spans="1:8" x14ac:dyDescent="0.25">
      <c r="A10" t="s">
        <v>14</v>
      </c>
      <c r="B10" s="7">
        <v>1942</v>
      </c>
      <c r="C10" s="7">
        <v>772</v>
      </c>
      <c r="D10" s="7">
        <v>2340</v>
      </c>
      <c r="E10" s="8">
        <v>0.80759999999999998</v>
      </c>
      <c r="F10" s="8">
        <v>55.714300000000001</v>
      </c>
      <c r="G10" s="8">
        <v>9.8361999999999998</v>
      </c>
      <c r="H10" s="7">
        <v>-13855</v>
      </c>
    </row>
    <row r="11" spans="1:8" x14ac:dyDescent="0.25">
      <c r="A11" t="s">
        <v>15</v>
      </c>
      <c r="B11" s="7">
        <v>1947</v>
      </c>
      <c r="C11" s="7">
        <v>775</v>
      </c>
      <c r="D11" s="7">
        <v>2344</v>
      </c>
      <c r="E11" s="8">
        <v>0.80759999999999998</v>
      </c>
      <c r="F11" s="8">
        <v>55.8095</v>
      </c>
      <c r="G11" s="8">
        <v>9.8359000000000005</v>
      </c>
      <c r="H11" s="7">
        <v>-14008</v>
      </c>
    </row>
    <row r="12" spans="1:8" x14ac:dyDescent="0.25">
      <c r="A12" t="s">
        <v>16</v>
      </c>
      <c r="B12" s="7">
        <v>1947</v>
      </c>
      <c r="C12" s="7">
        <v>775</v>
      </c>
      <c r="D12" s="7">
        <v>2344</v>
      </c>
      <c r="E12" s="8">
        <v>0.80759999999999998</v>
      </c>
      <c r="F12" s="8">
        <v>55.8095</v>
      </c>
      <c r="G12" s="8">
        <v>9.8359000000000005</v>
      </c>
      <c r="H12" s="7">
        <v>-14008</v>
      </c>
    </row>
    <row r="13" spans="1:8" x14ac:dyDescent="0.25">
      <c r="A13" t="s">
        <v>17</v>
      </c>
      <c r="B13" s="7">
        <v>2557</v>
      </c>
      <c r="C13" s="7">
        <v>1067</v>
      </c>
      <c r="D13" s="7">
        <v>2980</v>
      </c>
      <c r="E13" s="8">
        <v>0.79520000000000002</v>
      </c>
      <c r="F13" s="8">
        <v>62.083300000000001</v>
      </c>
      <c r="G13" s="8">
        <v>10.9383</v>
      </c>
      <c r="H13" s="7">
        <v>-21519</v>
      </c>
    </row>
    <row r="14" spans="1:8" x14ac:dyDescent="0.25">
      <c r="A14" t="s">
        <v>18</v>
      </c>
      <c r="B14" s="7">
        <v>2562</v>
      </c>
      <c r="C14" s="7">
        <v>1067</v>
      </c>
      <c r="D14" s="7">
        <v>2990</v>
      </c>
      <c r="E14" s="8">
        <v>0.79590000000000005</v>
      </c>
      <c r="F14" s="8">
        <v>62.291699999999999</v>
      </c>
      <c r="G14" s="8">
        <v>10.9411</v>
      </c>
      <c r="H14" s="7">
        <v>-21664</v>
      </c>
    </row>
    <row r="15" spans="1:8" x14ac:dyDescent="0.25">
      <c r="A15" t="s">
        <v>19</v>
      </c>
      <c r="B15" s="7">
        <v>2445</v>
      </c>
      <c r="C15" s="7">
        <v>1092</v>
      </c>
      <c r="D15" s="7">
        <v>2706</v>
      </c>
      <c r="E15" s="8">
        <v>0.79759999999999998</v>
      </c>
      <c r="F15" s="8">
        <v>56.375</v>
      </c>
      <c r="G15" s="8">
        <v>11.327999999999999</v>
      </c>
      <c r="H15" s="7">
        <v>-24526</v>
      </c>
    </row>
    <row r="16" spans="1:8" x14ac:dyDescent="0.25">
      <c r="A16" t="s">
        <v>20</v>
      </c>
      <c r="B16" s="7">
        <v>2566</v>
      </c>
      <c r="C16" s="7">
        <v>1158</v>
      </c>
      <c r="D16" s="7">
        <v>2816</v>
      </c>
      <c r="E16" s="8">
        <v>0.8</v>
      </c>
      <c r="F16" s="8">
        <v>56.32</v>
      </c>
      <c r="G16" s="8">
        <v>11.2216</v>
      </c>
      <c r="H16" s="7">
        <v>-27430</v>
      </c>
    </row>
    <row r="17" spans="1:8" x14ac:dyDescent="0.25">
      <c r="A17" t="s">
        <v>21</v>
      </c>
      <c r="B17" s="7">
        <v>2566</v>
      </c>
      <c r="C17" s="7">
        <v>1158</v>
      </c>
      <c r="D17" s="7">
        <v>2816</v>
      </c>
      <c r="E17" s="8">
        <v>0.8</v>
      </c>
      <c r="F17" s="8">
        <v>56.32</v>
      </c>
      <c r="G17" s="8">
        <v>11.2216</v>
      </c>
      <c r="H17" s="7">
        <v>-27430</v>
      </c>
    </row>
    <row r="18" spans="1:8" x14ac:dyDescent="0.25">
      <c r="A18" t="s">
        <v>22</v>
      </c>
      <c r="B18" s="7">
        <v>2568</v>
      </c>
      <c r="C18" s="7">
        <v>1158</v>
      </c>
      <c r="D18" s="7">
        <v>2820</v>
      </c>
      <c r="E18" s="8">
        <v>0.8</v>
      </c>
      <c r="F18" s="8">
        <v>56.4</v>
      </c>
      <c r="G18" s="8">
        <v>11.2202</v>
      </c>
      <c r="H18" s="7">
        <v>-27430</v>
      </c>
    </row>
    <row r="19" spans="1:8" x14ac:dyDescent="0.25">
      <c r="A19" t="s">
        <v>23</v>
      </c>
      <c r="B19" s="7">
        <v>3505</v>
      </c>
      <c r="C19" s="7">
        <v>1471</v>
      </c>
      <c r="D19" s="7">
        <v>4068</v>
      </c>
      <c r="E19" s="8">
        <v>0.83350000000000002</v>
      </c>
      <c r="F19" s="8">
        <v>70.137900000000002</v>
      </c>
      <c r="G19" s="8">
        <v>11.771100000000001</v>
      </c>
      <c r="H19" s="7">
        <v>-39057</v>
      </c>
    </row>
    <row r="20" spans="1:8" x14ac:dyDescent="0.25">
      <c r="A20" t="s">
        <v>24</v>
      </c>
      <c r="B20" s="7">
        <v>3583</v>
      </c>
      <c r="C20" s="7">
        <v>1502</v>
      </c>
      <c r="D20" s="7">
        <v>4162</v>
      </c>
      <c r="E20" s="8">
        <v>0.83140000000000003</v>
      </c>
      <c r="F20" s="8">
        <v>71.758600000000001</v>
      </c>
      <c r="G20" s="8">
        <v>12.1425</v>
      </c>
      <c r="H20" s="7">
        <v>-40263</v>
      </c>
    </row>
    <row r="21" spans="1:8" x14ac:dyDescent="0.25">
      <c r="A21" t="s">
        <v>25</v>
      </c>
      <c r="B21" s="7">
        <v>4127</v>
      </c>
      <c r="C21" s="7">
        <v>1706</v>
      </c>
      <c r="D21" s="7">
        <v>4842</v>
      </c>
      <c r="E21" s="8">
        <v>0.80620000000000003</v>
      </c>
      <c r="F21" s="8">
        <v>80.7</v>
      </c>
      <c r="G21" s="8">
        <v>12.56</v>
      </c>
      <c r="H21" s="7">
        <v>-49381</v>
      </c>
    </row>
    <row r="22" spans="1:8" x14ac:dyDescent="0.25">
      <c r="A22" t="s">
        <v>26</v>
      </c>
      <c r="B22" s="7">
        <v>4138</v>
      </c>
      <c r="C22" s="7">
        <v>1711</v>
      </c>
      <c r="D22" s="7">
        <v>4854</v>
      </c>
      <c r="E22" s="8">
        <v>0.80689999999999995</v>
      </c>
      <c r="F22" s="8">
        <v>80.900000000000006</v>
      </c>
      <c r="G22" s="8">
        <v>12.6022</v>
      </c>
      <c r="H22" s="7">
        <v>-49629</v>
      </c>
    </row>
    <row r="23" spans="1:8" x14ac:dyDescent="0.25">
      <c r="A23" t="s">
        <v>27</v>
      </c>
      <c r="B23" s="7">
        <v>5329</v>
      </c>
      <c r="C23" s="7">
        <v>2049</v>
      </c>
      <c r="D23" s="7">
        <v>6560</v>
      </c>
      <c r="E23" s="8">
        <v>0.78659999999999997</v>
      </c>
      <c r="F23" s="8">
        <v>55.593200000000003</v>
      </c>
      <c r="G23" s="8">
        <v>21.368099999999998</v>
      </c>
      <c r="H23" s="7">
        <v>-51615</v>
      </c>
    </row>
    <row r="24" spans="1:8" x14ac:dyDescent="0.25">
      <c r="A24" t="s">
        <v>28</v>
      </c>
      <c r="B24" s="7">
        <v>5351</v>
      </c>
      <c r="C24" s="7">
        <v>2054</v>
      </c>
      <c r="D24" s="7">
        <v>6594</v>
      </c>
      <c r="E24" s="8">
        <v>0.78659999999999997</v>
      </c>
      <c r="F24" s="8">
        <v>55.881399999999999</v>
      </c>
      <c r="G24" s="8">
        <v>21.319299999999998</v>
      </c>
      <c r="H24" s="7">
        <v>-51828</v>
      </c>
    </row>
    <row r="25" spans="1:8" x14ac:dyDescent="0.25">
      <c r="A25" t="s">
        <v>29</v>
      </c>
      <c r="B25" s="7">
        <v>5354</v>
      </c>
      <c r="C25" s="7">
        <v>2057</v>
      </c>
      <c r="D25" s="7">
        <v>6594</v>
      </c>
      <c r="E25" s="8">
        <v>0.78669999999999995</v>
      </c>
      <c r="F25" s="8">
        <v>55.881399999999999</v>
      </c>
      <c r="G25" s="8">
        <v>21.377700000000001</v>
      </c>
      <c r="H25" s="7">
        <v>-51830</v>
      </c>
    </row>
    <row r="26" spans="1:8" x14ac:dyDescent="0.25">
      <c r="A26" t="s">
        <v>30</v>
      </c>
      <c r="B26" s="7">
        <v>5522</v>
      </c>
      <c r="C26" s="7">
        <v>2156</v>
      </c>
      <c r="D26" s="7">
        <v>6732</v>
      </c>
      <c r="E26" s="8">
        <v>0.78720000000000001</v>
      </c>
      <c r="F26" s="8">
        <v>56.1</v>
      </c>
      <c r="G26" s="8">
        <v>22.052399999999999</v>
      </c>
      <c r="H26" s="7">
        <v>-49639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AJ659"/>
  <sheetViews>
    <sheetView tabSelected="1" zoomScale="55" zoomScaleNormal="55" workbookViewId="0"/>
  </sheetViews>
  <sheetFormatPr defaultRowHeight="15" x14ac:dyDescent="0.25"/>
  <cols>
    <col min="1" max="1" width="15.85546875" bestFit="1" customWidth="1"/>
    <col min="2" max="2" width="56.28515625" bestFit="1" customWidth="1"/>
    <col min="8" max="8" width="60.7109375" bestFit="1" customWidth="1"/>
    <col min="9" max="9" width="9.7109375" style="3" bestFit="1" customWidth="1"/>
    <col min="10" max="11" width="7.28515625" style="3" customWidth="1"/>
    <col min="12" max="12" width="6.85546875" style="3" customWidth="1"/>
    <col min="13" max="17" width="7.28515625" style="3" customWidth="1"/>
    <col min="18" max="18" width="6.85546875" style="3" customWidth="1"/>
    <col min="19" max="19" width="7.28515625" style="3" customWidth="1"/>
    <col min="20" max="20" width="6.85546875" style="3" customWidth="1"/>
    <col min="21" max="24" width="7.28515625" style="3" customWidth="1"/>
    <col min="25" max="32" width="9.140625" style="3"/>
    <col min="34" max="36" width="9.140625" style="10"/>
  </cols>
  <sheetData>
    <row r="1" spans="1:36" x14ac:dyDescent="0.25">
      <c r="A1" t="s">
        <v>57</v>
      </c>
      <c r="B1" t="s">
        <v>58</v>
      </c>
      <c r="C1" t="s">
        <v>59</v>
      </c>
      <c r="D1" t="s">
        <v>60</v>
      </c>
      <c r="E1" t="s">
        <v>61</v>
      </c>
      <c r="H1" t="s">
        <v>126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H1" s="10" t="s">
        <v>129</v>
      </c>
      <c r="AI1" s="10" t="s">
        <v>130</v>
      </c>
      <c r="AJ1" s="10" t="s">
        <v>131</v>
      </c>
    </row>
    <row r="2" spans="1:36" x14ac:dyDescent="0.25">
      <c r="A2" t="s">
        <v>7</v>
      </c>
      <c r="B2" t="s">
        <v>62</v>
      </c>
      <c r="C2">
        <v>0</v>
      </c>
      <c r="D2">
        <v>0</v>
      </c>
      <c r="E2">
        <v>2</v>
      </c>
      <c r="H2" t="s">
        <v>93</v>
      </c>
      <c r="I2" s="9">
        <f>SUMIFS($C:$C,$B:$B,"="&amp;$H2,$A:$A,"="&amp;I$1)</f>
        <v>0</v>
      </c>
      <c r="J2" s="9">
        <f>SUMIFS($C:$C,$B:$B,"="&amp;$H2,$A:$A,"="&amp;J$1)</f>
        <v>0</v>
      </c>
      <c r="K2" s="9">
        <f>SUMIFS($C:$C,$B:$B,"="&amp;$H2,$A:$A,"="&amp;K$1)</f>
        <v>0</v>
      </c>
      <c r="L2" s="9">
        <f>SUMIFS($C:$C,$B:$B,"="&amp;$H2,$A:$A,"="&amp;L$1)</f>
        <v>0</v>
      </c>
      <c r="M2" s="9">
        <f>SUMIFS($C:$C,$B:$B,"="&amp;$H2,$A:$A,"="&amp;M$1)</f>
        <v>0</v>
      </c>
      <c r="N2" s="9">
        <f>SUMIFS($C:$C,$B:$B,"="&amp;$H2,$A:$A,"="&amp;N$1)</f>
        <v>0</v>
      </c>
      <c r="O2" s="9">
        <f>SUMIFS($C:$C,$B:$B,"="&amp;$H2,$A:$A,"="&amp;O$1)</f>
        <v>0</v>
      </c>
      <c r="P2" s="9">
        <f>SUMIFS($C:$C,$B:$B,"="&amp;$H2,$A:$A,"="&amp;P$1)</f>
        <v>0</v>
      </c>
      <c r="Q2" s="9">
        <f>SUMIFS($C:$C,$B:$B,"="&amp;$H2,$A:$A,"="&amp;Q$1)</f>
        <v>0</v>
      </c>
      <c r="R2" s="9">
        <f>SUMIFS($C:$C,$B:$B,"="&amp;$H2,$A:$A,"="&amp;R$1)</f>
        <v>0</v>
      </c>
      <c r="S2" s="9">
        <f>SUMIFS($C:$C,$B:$B,"="&amp;$H2,$A:$A,"="&amp;S$1)</f>
        <v>0</v>
      </c>
      <c r="T2" s="9">
        <f>SUMIFS($C:$C,$B:$B,"="&amp;$H2,$A:$A,"="&amp;T$1)</f>
        <v>0</v>
      </c>
      <c r="U2" s="9">
        <f>SUMIFS($C:$C,$B:$B,"="&amp;$H2,$A:$A,"="&amp;U$1)</f>
        <v>0</v>
      </c>
      <c r="V2" s="9">
        <f>SUMIFS($C:$C,$B:$B,"="&amp;$H2,$A:$A,"="&amp;V$1)</f>
        <v>0</v>
      </c>
      <c r="W2" s="9">
        <f>SUMIFS($C:$C,$B:$B,"="&amp;$H2,$A:$A,"="&amp;W$1)</f>
        <v>0</v>
      </c>
      <c r="X2" s="9">
        <f>SUMIFS($C:$C,$B:$B,"="&amp;$H2,$A:$A,"="&amp;X$1)</f>
        <v>0</v>
      </c>
      <c r="Y2" s="9">
        <f>SUMIFS($C:$C,$B:$B,"="&amp;$H2,$A:$A,"="&amp;Y$1)</f>
        <v>0</v>
      </c>
      <c r="Z2" s="9">
        <f>SUMIFS($C:$C,$B:$B,"="&amp;$H2,$A:$A,"="&amp;Z$1)</f>
        <v>0</v>
      </c>
      <c r="AA2" s="9">
        <f>SUMIFS($C:$C,$B:$B,"="&amp;$H2,$A:$A,"="&amp;AA$1)</f>
        <v>0</v>
      </c>
      <c r="AB2" s="9">
        <f>SUMIFS($C:$C,$B:$B,"="&amp;$H2,$A:$A,"="&amp;AB$1)</f>
        <v>0</v>
      </c>
      <c r="AC2" s="9">
        <f>SUMIFS($C:$C,$B:$B,"="&amp;$H2,$A:$A,"="&amp;AC$1)</f>
        <v>0</v>
      </c>
      <c r="AD2" s="9">
        <f>SUMIFS($C:$C,$B:$B,"="&amp;$H2,$A:$A,"="&amp;AD$1)</f>
        <v>0</v>
      </c>
      <c r="AE2" s="9">
        <f>SUMIFS($C:$C,$B:$B,"="&amp;$H2,$A:$A,"="&amp;AE$1)</f>
        <v>0</v>
      </c>
      <c r="AF2" s="9">
        <f>SUMIFS($C:$C,$B:$B,"="&amp;$H2,$A:$A,"="&amp;AF$1)</f>
        <v>0</v>
      </c>
      <c r="AH2" s="11">
        <f>Crescimentos(I2:AF2)</f>
        <v>0</v>
      </c>
      <c r="AI2" s="11">
        <f>Estabilizacoes(I2:AF2)</f>
        <v>23</v>
      </c>
      <c r="AJ2" s="11">
        <f>Reducoes(I2:AF2)</f>
        <v>0</v>
      </c>
    </row>
    <row r="3" spans="1:36" x14ac:dyDescent="0.25">
      <c r="A3" t="s">
        <v>7</v>
      </c>
      <c r="B3" t="s">
        <v>63</v>
      </c>
      <c r="C3">
        <v>0</v>
      </c>
      <c r="D3">
        <v>15</v>
      </c>
      <c r="E3">
        <v>47</v>
      </c>
      <c r="H3" t="s">
        <v>101</v>
      </c>
      <c r="I3" s="9">
        <f>SUMIFS($C:$C,$B:$B,"="&amp;$H3,$A:$A,"="&amp;I$1)</f>
        <v>0</v>
      </c>
      <c r="J3" s="9">
        <f>SUMIFS($C:$C,$B:$B,"="&amp;$H3,$A:$A,"="&amp;J$1)</f>
        <v>0</v>
      </c>
      <c r="K3" s="9">
        <f>SUMIFS($C:$C,$B:$B,"="&amp;$H3,$A:$A,"="&amp;K$1)</f>
        <v>0</v>
      </c>
      <c r="L3" s="9">
        <f>SUMIFS($C:$C,$B:$B,"="&amp;$H3,$A:$A,"="&amp;L$1)</f>
        <v>0</v>
      </c>
      <c r="M3" s="9">
        <f>SUMIFS($C:$C,$B:$B,"="&amp;$H3,$A:$A,"="&amp;M$1)</f>
        <v>0</v>
      </c>
      <c r="N3" s="9">
        <f>SUMIFS($C:$C,$B:$B,"="&amp;$H3,$A:$A,"="&amp;N$1)</f>
        <v>0</v>
      </c>
      <c r="O3" s="9">
        <f>SUMIFS($C:$C,$B:$B,"="&amp;$H3,$A:$A,"="&amp;O$1)</f>
        <v>0</v>
      </c>
      <c r="P3" s="9">
        <f>SUMIFS($C:$C,$B:$B,"="&amp;$H3,$A:$A,"="&amp;P$1)</f>
        <v>0</v>
      </c>
      <c r="Q3" s="9">
        <f>SUMIFS($C:$C,$B:$B,"="&amp;$H3,$A:$A,"="&amp;Q$1)</f>
        <v>0</v>
      </c>
      <c r="R3" s="9">
        <f>SUMIFS($C:$C,$B:$B,"="&amp;$H3,$A:$A,"="&amp;R$1)</f>
        <v>0</v>
      </c>
      <c r="S3" s="9">
        <f>SUMIFS($C:$C,$B:$B,"="&amp;$H3,$A:$A,"="&amp;S$1)</f>
        <v>0</v>
      </c>
      <c r="T3" s="9">
        <f>SUMIFS($C:$C,$B:$B,"="&amp;$H3,$A:$A,"="&amp;T$1)</f>
        <v>0</v>
      </c>
      <c r="U3" s="9">
        <f>SUMIFS($C:$C,$B:$B,"="&amp;$H3,$A:$A,"="&amp;U$1)</f>
        <v>0</v>
      </c>
      <c r="V3" s="9">
        <f>SUMIFS($C:$C,$B:$B,"="&amp;$H3,$A:$A,"="&amp;V$1)</f>
        <v>0</v>
      </c>
      <c r="W3" s="9">
        <f>SUMIFS($C:$C,$B:$B,"="&amp;$H3,$A:$A,"="&amp;W$1)</f>
        <v>0</v>
      </c>
      <c r="X3" s="9">
        <f>SUMIFS($C:$C,$B:$B,"="&amp;$H3,$A:$A,"="&amp;X$1)</f>
        <v>0</v>
      </c>
      <c r="Y3" s="9">
        <f>SUMIFS($C:$C,$B:$B,"="&amp;$H3,$A:$A,"="&amp;Y$1)</f>
        <v>0</v>
      </c>
      <c r="Z3" s="9">
        <f>SUMIFS($C:$C,$B:$B,"="&amp;$H3,$A:$A,"="&amp;Z$1)</f>
        <v>0</v>
      </c>
      <c r="AA3" s="9">
        <f>SUMIFS($C:$C,$B:$B,"="&amp;$H3,$A:$A,"="&amp;AA$1)</f>
        <v>9</v>
      </c>
      <c r="AB3" s="9">
        <f>SUMIFS($C:$C,$B:$B,"="&amp;$H3,$A:$A,"="&amp;AB$1)</f>
        <v>9</v>
      </c>
      <c r="AC3" s="9">
        <f>SUMIFS($C:$C,$B:$B,"="&amp;$H3,$A:$A,"="&amp;AC$1)</f>
        <v>10</v>
      </c>
      <c r="AD3" s="9">
        <f>SUMIFS($C:$C,$B:$B,"="&amp;$H3,$A:$A,"="&amp;AD$1)</f>
        <v>12</v>
      </c>
      <c r="AE3" s="9">
        <f>SUMIFS($C:$C,$B:$B,"="&amp;$H3,$A:$A,"="&amp;AE$1)</f>
        <v>12</v>
      </c>
      <c r="AF3" s="9">
        <f>SUMIFS($C:$C,$B:$B,"="&amp;$H3,$A:$A,"="&amp;AF$1)</f>
        <v>13</v>
      </c>
      <c r="AH3" s="11">
        <f t="shared" ref="AH3:AH33" si="0">Crescimentos(I3:AF3)</f>
        <v>4</v>
      </c>
      <c r="AI3" s="11">
        <f t="shared" ref="AI3:AI33" si="1">Estabilizacoes(I3:AF3)</f>
        <v>19</v>
      </c>
      <c r="AJ3" s="11">
        <f t="shared" ref="AJ3:AJ33" si="2">Reducoes(I3:AF3)</f>
        <v>0</v>
      </c>
    </row>
    <row r="4" spans="1:36" x14ac:dyDescent="0.25">
      <c r="A4" t="s">
        <v>7</v>
      </c>
      <c r="B4" t="s">
        <v>64</v>
      </c>
      <c r="C4">
        <v>45</v>
      </c>
      <c r="D4">
        <v>0</v>
      </c>
      <c r="E4">
        <v>151</v>
      </c>
      <c r="H4" t="s">
        <v>66</v>
      </c>
      <c r="I4" s="9">
        <f>SUMIFS($C:$C,$B:$B,"="&amp;$H4,$A:$A,"="&amp;I$1)</f>
        <v>0</v>
      </c>
      <c r="J4" s="9">
        <f>SUMIFS($C:$C,$B:$B,"="&amp;$H4,$A:$A,"="&amp;J$1)</f>
        <v>0</v>
      </c>
      <c r="K4" s="9">
        <f>SUMIFS($C:$C,$B:$B,"="&amp;$H4,$A:$A,"="&amp;K$1)</f>
        <v>0</v>
      </c>
      <c r="L4" s="9">
        <f>SUMIFS($C:$C,$B:$B,"="&amp;$H4,$A:$A,"="&amp;L$1)</f>
        <v>0</v>
      </c>
      <c r="M4" s="9">
        <f>SUMIFS($C:$C,$B:$B,"="&amp;$H4,$A:$A,"="&amp;M$1)</f>
        <v>0</v>
      </c>
      <c r="N4" s="9">
        <f>SUMIFS($C:$C,$B:$B,"="&amp;$H4,$A:$A,"="&amp;N$1)</f>
        <v>0</v>
      </c>
      <c r="O4" s="9">
        <f>SUMIFS($C:$C,$B:$B,"="&amp;$H4,$A:$A,"="&amp;O$1)</f>
        <v>0</v>
      </c>
      <c r="P4" s="9">
        <f>SUMIFS($C:$C,$B:$B,"="&amp;$H4,$A:$A,"="&amp;P$1)</f>
        <v>0</v>
      </c>
      <c r="Q4" s="9">
        <f>SUMIFS($C:$C,$B:$B,"="&amp;$H4,$A:$A,"="&amp;Q$1)</f>
        <v>0</v>
      </c>
      <c r="R4" s="9">
        <f>SUMIFS($C:$C,$B:$B,"="&amp;$H4,$A:$A,"="&amp;R$1)</f>
        <v>0</v>
      </c>
      <c r="S4" s="9">
        <f>SUMIFS($C:$C,$B:$B,"="&amp;$H4,$A:$A,"="&amp;S$1)</f>
        <v>0</v>
      </c>
      <c r="T4" s="9">
        <f>SUMIFS($C:$C,$B:$B,"="&amp;$H4,$A:$A,"="&amp;T$1)</f>
        <v>0</v>
      </c>
      <c r="U4" s="9">
        <f>SUMIFS($C:$C,$B:$B,"="&amp;$H4,$A:$A,"="&amp;U$1)</f>
        <v>0</v>
      </c>
      <c r="V4" s="9">
        <f>SUMIFS($C:$C,$B:$B,"="&amp;$H4,$A:$A,"="&amp;V$1)</f>
        <v>0</v>
      </c>
      <c r="W4" s="9">
        <f>SUMIFS($C:$C,$B:$B,"="&amp;$H4,$A:$A,"="&amp;W$1)</f>
        <v>0</v>
      </c>
      <c r="X4" s="9">
        <f>SUMIFS($C:$C,$B:$B,"="&amp;$H4,$A:$A,"="&amp;X$1)</f>
        <v>0</v>
      </c>
      <c r="Y4" s="9">
        <f>SUMIFS($C:$C,$B:$B,"="&amp;$H4,$A:$A,"="&amp;Y$1)</f>
        <v>0</v>
      </c>
      <c r="Z4" s="9">
        <f>SUMIFS($C:$C,$B:$B,"="&amp;$H4,$A:$A,"="&amp;Z$1)</f>
        <v>0</v>
      </c>
      <c r="AA4" s="9">
        <f>SUMIFS($C:$C,$B:$B,"="&amp;$H4,$A:$A,"="&amp;AA$1)</f>
        <v>0</v>
      </c>
      <c r="AB4" s="9">
        <f>SUMIFS($C:$C,$B:$B,"="&amp;$H4,$A:$A,"="&amp;AB$1)</f>
        <v>0</v>
      </c>
      <c r="AC4" s="9">
        <f>SUMIFS($C:$C,$B:$B,"="&amp;$H4,$A:$A,"="&amp;AC$1)</f>
        <v>9</v>
      </c>
      <c r="AD4" s="9">
        <f>SUMIFS($C:$C,$B:$B,"="&amp;$H4,$A:$A,"="&amp;AD$1)</f>
        <v>9</v>
      </c>
      <c r="AE4" s="9">
        <f>SUMIFS($C:$C,$B:$B,"="&amp;$H4,$A:$A,"="&amp;AE$1)</f>
        <v>9</v>
      </c>
      <c r="AF4" s="9">
        <f>SUMIFS($C:$C,$B:$B,"="&amp;$H4,$A:$A,"="&amp;AF$1)</f>
        <v>9</v>
      </c>
      <c r="AH4" s="11">
        <f t="shared" si="0"/>
        <v>1</v>
      </c>
      <c r="AI4" s="11">
        <f t="shared" si="1"/>
        <v>22</v>
      </c>
      <c r="AJ4" s="11">
        <f t="shared" si="2"/>
        <v>0</v>
      </c>
    </row>
    <row r="5" spans="1:36" x14ac:dyDescent="0.25">
      <c r="A5" t="s">
        <v>7</v>
      </c>
      <c r="B5" t="s">
        <v>65</v>
      </c>
      <c r="C5">
        <v>2</v>
      </c>
      <c r="D5">
        <v>0</v>
      </c>
      <c r="E5">
        <v>6</v>
      </c>
      <c r="H5" t="s">
        <v>96</v>
      </c>
      <c r="I5" s="9">
        <f>SUMIFS($C:$C,$B:$B,"="&amp;$H5,$A:$A,"="&amp;I$1)</f>
        <v>0</v>
      </c>
      <c r="J5" s="9">
        <f>SUMIFS($C:$C,$B:$B,"="&amp;$H5,$A:$A,"="&amp;J$1)</f>
        <v>0</v>
      </c>
      <c r="K5" s="9">
        <f>SUMIFS($C:$C,$B:$B,"="&amp;$H5,$A:$A,"="&amp;K$1)</f>
        <v>0</v>
      </c>
      <c r="L5" s="9">
        <f>SUMIFS($C:$C,$B:$B,"="&amp;$H5,$A:$A,"="&amp;L$1)</f>
        <v>0</v>
      </c>
      <c r="M5" s="9">
        <f>SUMIFS($C:$C,$B:$B,"="&amp;$H5,$A:$A,"="&amp;M$1)</f>
        <v>0</v>
      </c>
      <c r="N5" s="9">
        <f>SUMIFS($C:$C,$B:$B,"="&amp;$H5,$A:$A,"="&amp;N$1)</f>
        <v>0</v>
      </c>
      <c r="O5" s="9">
        <f>SUMIFS($C:$C,$B:$B,"="&amp;$H5,$A:$A,"="&amp;O$1)</f>
        <v>0</v>
      </c>
      <c r="P5" s="9">
        <f>SUMIFS($C:$C,$B:$B,"="&amp;$H5,$A:$A,"="&amp;P$1)</f>
        <v>0</v>
      </c>
      <c r="Q5" s="9">
        <f>SUMIFS($C:$C,$B:$B,"="&amp;$H5,$A:$A,"="&amp;Q$1)</f>
        <v>0</v>
      </c>
      <c r="R5" s="9">
        <f>SUMIFS($C:$C,$B:$B,"="&amp;$H5,$A:$A,"="&amp;R$1)</f>
        <v>0</v>
      </c>
      <c r="S5" s="9">
        <f>SUMIFS($C:$C,$B:$B,"="&amp;$H5,$A:$A,"="&amp;S$1)</f>
        <v>0</v>
      </c>
      <c r="T5" s="9">
        <f>SUMIFS($C:$C,$B:$B,"="&amp;$H5,$A:$A,"="&amp;T$1)</f>
        <v>0</v>
      </c>
      <c r="U5" s="9">
        <f>SUMIFS($C:$C,$B:$B,"="&amp;$H5,$A:$A,"="&amp;U$1)</f>
        <v>0</v>
      </c>
      <c r="V5" s="9">
        <f>SUMIFS($C:$C,$B:$B,"="&amp;$H5,$A:$A,"="&amp;V$1)</f>
        <v>0</v>
      </c>
      <c r="W5" s="9">
        <f>SUMIFS($C:$C,$B:$B,"="&amp;$H5,$A:$A,"="&amp;W$1)</f>
        <v>0</v>
      </c>
      <c r="X5" s="9">
        <f>SUMIFS($C:$C,$B:$B,"="&amp;$H5,$A:$A,"="&amp;X$1)</f>
        <v>0</v>
      </c>
      <c r="Y5" s="9">
        <f>SUMIFS($C:$C,$B:$B,"="&amp;$H5,$A:$A,"="&amp;Y$1)</f>
        <v>2</v>
      </c>
      <c r="Z5" s="9">
        <f>SUMIFS($C:$C,$B:$B,"="&amp;$H5,$A:$A,"="&amp;Z$1)</f>
        <v>2</v>
      </c>
      <c r="AA5" s="9">
        <f>SUMIFS($C:$C,$B:$B,"="&amp;$H5,$A:$A,"="&amp;AA$1)</f>
        <v>2</v>
      </c>
      <c r="AB5" s="9">
        <f>SUMIFS($C:$C,$B:$B,"="&amp;$H5,$A:$A,"="&amp;AB$1)</f>
        <v>2</v>
      </c>
      <c r="AC5" s="9">
        <f>SUMIFS($C:$C,$B:$B,"="&amp;$H5,$A:$A,"="&amp;AC$1)</f>
        <v>3</v>
      </c>
      <c r="AD5" s="9">
        <f>SUMIFS($C:$C,$B:$B,"="&amp;$H5,$A:$A,"="&amp;AD$1)</f>
        <v>3</v>
      </c>
      <c r="AE5" s="9">
        <f>SUMIFS($C:$C,$B:$B,"="&amp;$H5,$A:$A,"="&amp;AE$1)</f>
        <v>3</v>
      </c>
      <c r="AF5" s="9">
        <f>SUMIFS($C:$C,$B:$B,"="&amp;$H5,$A:$A,"="&amp;AF$1)</f>
        <v>3</v>
      </c>
      <c r="AH5" s="11">
        <f t="shared" si="0"/>
        <v>2</v>
      </c>
      <c r="AI5" s="11">
        <f t="shared" si="1"/>
        <v>21</v>
      </c>
      <c r="AJ5" s="11">
        <f t="shared" si="2"/>
        <v>0</v>
      </c>
    </row>
    <row r="6" spans="1:36" x14ac:dyDescent="0.25">
      <c r="A6" t="s">
        <v>8</v>
      </c>
      <c r="B6" t="s">
        <v>64</v>
      </c>
      <c r="C6">
        <v>97</v>
      </c>
      <c r="D6">
        <v>2</v>
      </c>
      <c r="E6">
        <v>186</v>
      </c>
      <c r="H6" t="s">
        <v>97</v>
      </c>
      <c r="I6" s="9">
        <f>SUMIFS($C:$C,$B:$B,"="&amp;$H6,$A:$A,"="&amp;I$1)</f>
        <v>0</v>
      </c>
      <c r="J6" s="9">
        <f>SUMIFS($C:$C,$B:$B,"="&amp;$H6,$A:$A,"="&amp;J$1)</f>
        <v>0</v>
      </c>
      <c r="K6" s="9">
        <f>SUMIFS($C:$C,$B:$B,"="&amp;$H6,$A:$A,"="&amp;K$1)</f>
        <v>0</v>
      </c>
      <c r="L6" s="9">
        <f>SUMIFS($C:$C,$B:$B,"="&amp;$H6,$A:$A,"="&amp;L$1)</f>
        <v>0</v>
      </c>
      <c r="M6" s="9">
        <f>SUMIFS($C:$C,$B:$B,"="&amp;$H6,$A:$A,"="&amp;M$1)</f>
        <v>0</v>
      </c>
      <c r="N6" s="9">
        <f>SUMIFS($C:$C,$B:$B,"="&amp;$H6,$A:$A,"="&amp;N$1)</f>
        <v>0</v>
      </c>
      <c r="O6" s="9">
        <f>SUMIFS($C:$C,$B:$B,"="&amp;$H6,$A:$A,"="&amp;O$1)</f>
        <v>0</v>
      </c>
      <c r="P6" s="9">
        <f>SUMIFS($C:$C,$B:$B,"="&amp;$H6,$A:$A,"="&amp;P$1)</f>
        <v>0</v>
      </c>
      <c r="Q6" s="9">
        <f>SUMIFS($C:$C,$B:$B,"="&amp;$H6,$A:$A,"="&amp;Q$1)</f>
        <v>0</v>
      </c>
      <c r="R6" s="9">
        <f>SUMIFS($C:$C,$B:$B,"="&amp;$H6,$A:$A,"="&amp;R$1)</f>
        <v>0</v>
      </c>
      <c r="S6" s="9">
        <f>SUMIFS($C:$C,$B:$B,"="&amp;$H6,$A:$A,"="&amp;S$1)</f>
        <v>0</v>
      </c>
      <c r="T6" s="9">
        <f>SUMIFS($C:$C,$B:$B,"="&amp;$H6,$A:$A,"="&amp;T$1)</f>
        <v>0</v>
      </c>
      <c r="U6" s="9">
        <f>SUMIFS($C:$C,$B:$B,"="&amp;$H6,$A:$A,"="&amp;U$1)</f>
        <v>0</v>
      </c>
      <c r="V6" s="9">
        <f>SUMIFS($C:$C,$B:$B,"="&amp;$H6,$A:$A,"="&amp;V$1)</f>
        <v>0</v>
      </c>
      <c r="W6" s="9">
        <f>SUMIFS($C:$C,$B:$B,"="&amp;$H6,$A:$A,"="&amp;W$1)</f>
        <v>0</v>
      </c>
      <c r="X6" s="9">
        <f>SUMIFS($C:$C,$B:$B,"="&amp;$H6,$A:$A,"="&amp;X$1)</f>
        <v>0</v>
      </c>
      <c r="Y6" s="9">
        <f>SUMIFS($C:$C,$B:$B,"="&amp;$H6,$A:$A,"="&amp;Y$1)</f>
        <v>52</v>
      </c>
      <c r="Z6" s="9">
        <f>SUMIFS($C:$C,$B:$B,"="&amp;$H6,$A:$A,"="&amp;Z$1)</f>
        <v>56</v>
      </c>
      <c r="AA6" s="9">
        <f>SUMIFS($C:$C,$B:$B,"="&amp;$H6,$A:$A,"="&amp;AA$1)</f>
        <v>69</v>
      </c>
      <c r="AB6" s="9">
        <f>SUMIFS($C:$C,$B:$B,"="&amp;$H6,$A:$A,"="&amp;AB$1)</f>
        <v>69</v>
      </c>
      <c r="AC6" s="9">
        <f>SUMIFS($C:$C,$B:$B,"="&amp;$H6,$A:$A,"="&amp;AC$1)</f>
        <v>71</v>
      </c>
      <c r="AD6" s="9">
        <f>SUMIFS($C:$C,$B:$B,"="&amp;$H6,$A:$A,"="&amp;AD$1)</f>
        <v>71</v>
      </c>
      <c r="AE6" s="9">
        <f>SUMIFS($C:$C,$B:$B,"="&amp;$H6,$A:$A,"="&amp;AE$1)</f>
        <v>71</v>
      </c>
      <c r="AF6" s="9">
        <f>SUMIFS($C:$C,$B:$B,"="&amp;$H6,$A:$A,"="&amp;AF$1)</f>
        <v>73</v>
      </c>
      <c r="AH6" s="11">
        <f t="shared" si="0"/>
        <v>5</v>
      </c>
      <c r="AI6" s="11">
        <f t="shared" si="1"/>
        <v>18</v>
      </c>
      <c r="AJ6" s="11">
        <f t="shared" si="2"/>
        <v>0</v>
      </c>
    </row>
    <row r="7" spans="1:36" x14ac:dyDescent="0.25">
      <c r="A7" t="s">
        <v>8</v>
      </c>
      <c r="B7" t="s">
        <v>63</v>
      </c>
      <c r="C7">
        <v>12</v>
      </c>
      <c r="D7">
        <v>28</v>
      </c>
      <c r="E7">
        <v>125</v>
      </c>
      <c r="H7" t="s">
        <v>98</v>
      </c>
      <c r="I7" s="9">
        <f>SUMIFS($C:$C,$B:$B,"="&amp;$H7,$A:$A,"="&amp;I$1)</f>
        <v>0</v>
      </c>
      <c r="J7" s="9">
        <f>SUMIFS($C:$C,$B:$B,"="&amp;$H7,$A:$A,"="&amp;J$1)</f>
        <v>0</v>
      </c>
      <c r="K7" s="9">
        <f>SUMIFS($C:$C,$B:$B,"="&amp;$H7,$A:$A,"="&amp;K$1)</f>
        <v>0</v>
      </c>
      <c r="L7" s="9">
        <f>SUMIFS($C:$C,$B:$B,"="&amp;$H7,$A:$A,"="&amp;L$1)</f>
        <v>0</v>
      </c>
      <c r="M7" s="9">
        <f>SUMIFS($C:$C,$B:$B,"="&amp;$H7,$A:$A,"="&amp;M$1)</f>
        <v>0</v>
      </c>
      <c r="N7" s="9">
        <f>SUMIFS($C:$C,$B:$B,"="&amp;$H7,$A:$A,"="&amp;N$1)</f>
        <v>0</v>
      </c>
      <c r="O7" s="9">
        <f>SUMIFS($C:$C,$B:$B,"="&amp;$H7,$A:$A,"="&amp;O$1)</f>
        <v>0</v>
      </c>
      <c r="P7" s="9">
        <f>SUMIFS($C:$C,$B:$B,"="&amp;$H7,$A:$A,"="&amp;P$1)</f>
        <v>0</v>
      </c>
      <c r="Q7" s="9">
        <f>SUMIFS($C:$C,$B:$B,"="&amp;$H7,$A:$A,"="&amp;Q$1)</f>
        <v>0</v>
      </c>
      <c r="R7" s="9">
        <f>SUMIFS($C:$C,$B:$B,"="&amp;$H7,$A:$A,"="&amp;R$1)</f>
        <v>0</v>
      </c>
      <c r="S7" s="9">
        <f>SUMIFS($C:$C,$B:$B,"="&amp;$H7,$A:$A,"="&amp;S$1)</f>
        <v>0</v>
      </c>
      <c r="T7" s="9">
        <f>SUMIFS($C:$C,$B:$B,"="&amp;$H7,$A:$A,"="&amp;T$1)</f>
        <v>0</v>
      </c>
      <c r="U7" s="9">
        <f>SUMIFS($C:$C,$B:$B,"="&amp;$H7,$A:$A,"="&amp;U$1)</f>
        <v>0</v>
      </c>
      <c r="V7" s="9">
        <f>SUMIFS($C:$C,$B:$B,"="&amp;$H7,$A:$A,"="&amp;V$1)</f>
        <v>0</v>
      </c>
      <c r="W7" s="9">
        <f>SUMIFS($C:$C,$B:$B,"="&amp;$H7,$A:$A,"="&amp;W$1)</f>
        <v>0</v>
      </c>
      <c r="X7" s="9">
        <f>SUMIFS($C:$C,$B:$B,"="&amp;$H7,$A:$A,"="&amp;X$1)</f>
        <v>0</v>
      </c>
      <c r="Y7" s="9">
        <f>SUMIFS($C:$C,$B:$B,"="&amp;$H7,$A:$A,"="&amp;Y$1)</f>
        <v>7</v>
      </c>
      <c r="Z7" s="9">
        <f>SUMIFS($C:$C,$B:$B,"="&amp;$H7,$A:$A,"="&amp;Z$1)</f>
        <v>4</v>
      </c>
      <c r="AA7" s="9">
        <f>SUMIFS($C:$C,$B:$B,"="&amp;$H7,$A:$A,"="&amp;AA$1)</f>
        <v>4</v>
      </c>
      <c r="AB7" s="9">
        <f>SUMIFS($C:$C,$B:$B,"="&amp;$H7,$A:$A,"="&amp;AB$1)</f>
        <v>4</v>
      </c>
      <c r="AC7" s="9">
        <f>SUMIFS($C:$C,$B:$B,"="&amp;$H7,$A:$A,"="&amp;AC$1)</f>
        <v>4</v>
      </c>
      <c r="AD7" s="9">
        <f>SUMIFS($C:$C,$B:$B,"="&amp;$H7,$A:$A,"="&amp;AD$1)</f>
        <v>4</v>
      </c>
      <c r="AE7" s="9">
        <f>SUMIFS($C:$C,$B:$B,"="&amp;$H7,$A:$A,"="&amp;AE$1)</f>
        <v>4</v>
      </c>
      <c r="AF7" s="9">
        <f>SUMIFS($C:$C,$B:$B,"="&amp;$H7,$A:$A,"="&amp;AF$1)</f>
        <v>4</v>
      </c>
      <c r="AH7" s="11">
        <f t="shared" si="0"/>
        <v>1</v>
      </c>
      <c r="AI7" s="11">
        <f t="shared" si="1"/>
        <v>21</v>
      </c>
      <c r="AJ7" s="11">
        <f t="shared" si="2"/>
        <v>1</v>
      </c>
    </row>
    <row r="8" spans="1:36" x14ac:dyDescent="0.25">
      <c r="A8" t="s">
        <v>8</v>
      </c>
      <c r="B8" t="s">
        <v>66</v>
      </c>
      <c r="C8">
        <v>0</v>
      </c>
      <c r="D8">
        <v>10</v>
      </c>
      <c r="E8">
        <v>0</v>
      </c>
      <c r="H8" t="s">
        <v>99</v>
      </c>
      <c r="I8" s="9">
        <f>SUMIFS($C:$C,$B:$B,"="&amp;$H8,$A:$A,"="&amp;I$1)</f>
        <v>0</v>
      </c>
      <c r="J8" s="9">
        <f>SUMIFS($C:$C,$B:$B,"="&amp;$H8,$A:$A,"="&amp;J$1)</f>
        <v>0</v>
      </c>
      <c r="K8" s="9">
        <f>SUMIFS($C:$C,$B:$B,"="&amp;$H8,$A:$A,"="&amp;K$1)</f>
        <v>0</v>
      </c>
      <c r="L8" s="9">
        <f>SUMIFS($C:$C,$B:$B,"="&amp;$H8,$A:$A,"="&amp;L$1)</f>
        <v>0</v>
      </c>
      <c r="M8" s="9">
        <f>SUMIFS($C:$C,$B:$B,"="&amp;$H8,$A:$A,"="&amp;M$1)</f>
        <v>0</v>
      </c>
      <c r="N8" s="9">
        <f>SUMIFS($C:$C,$B:$B,"="&amp;$H8,$A:$A,"="&amp;N$1)</f>
        <v>0</v>
      </c>
      <c r="O8" s="9">
        <f>SUMIFS($C:$C,$B:$B,"="&amp;$H8,$A:$A,"="&amp;O$1)</f>
        <v>0</v>
      </c>
      <c r="P8" s="9">
        <f>SUMIFS($C:$C,$B:$B,"="&amp;$H8,$A:$A,"="&amp;P$1)</f>
        <v>0</v>
      </c>
      <c r="Q8" s="9">
        <f>SUMIFS($C:$C,$B:$B,"="&amp;$H8,$A:$A,"="&amp;Q$1)</f>
        <v>0</v>
      </c>
      <c r="R8" s="9">
        <f>SUMIFS($C:$C,$B:$B,"="&amp;$H8,$A:$A,"="&amp;R$1)</f>
        <v>0</v>
      </c>
      <c r="S8" s="9">
        <f>SUMIFS($C:$C,$B:$B,"="&amp;$H8,$A:$A,"="&amp;S$1)</f>
        <v>0</v>
      </c>
      <c r="T8" s="9">
        <f>SUMIFS($C:$C,$B:$B,"="&amp;$H8,$A:$A,"="&amp;T$1)</f>
        <v>0</v>
      </c>
      <c r="U8" s="9">
        <f>SUMIFS($C:$C,$B:$B,"="&amp;$H8,$A:$A,"="&amp;U$1)</f>
        <v>0</v>
      </c>
      <c r="V8" s="9">
        <f>SUMIFS($C:$C,$B:$B,"="&amp;$H8,$A:$A,"="&amp;V$1)</f>
        <v>0</v>
      </c>
      <c r="W8" s="9">
        <f>SUMIFS($C:$C,$B:$B,"="&amp;$H8,$A:$A,"="&amp;W$1)</f>
        <v>0</v>
      </c>
      <c r="X8" s="9">
        <f>SUMIFS($C:$C,$B:$B,"="&amp;$H8,$A:$A,"="&amp;X$1)</f>
        <v>0</v>
      </c>
      <c r="Y8" s="9">
        <f>SUMIFS($C:$C,$B:$B,"="&amp;$H8,$A:$A,"="&amp;Y$1)</f>
        <v>12</v>
      </c>
      <c r="Z8" s="9">
        <f>SUMIFS($C:$C,$B:$B,"="&amp;$H8,$A:$A,"="&amp;Z$1)</f>
        <v>12</v>
      </c>
      <c r="AA8" s="9">
        <f>SUMIFS($C:$C,$B:$B,"="&amp;$H8,$A:$A,"="&amp;AA$1)</f>
        <v>22</v>
      </c>
      <c r="AB8" s="9">
        <f>SUMIFS($C:$C,$B:$B,"="&amp;$H8,$A:$A,"="&amp;AB$1)</f>
        <v>22</v>
      </c>
      <c r="AC8" s="9">
        <f>SUMIFS($C:$C,$B:$B,"="&amp;$H8,$A:$A,"="&amp;AC$1)</f>
        <v>22</v>
      </c>
      <c r="AD8" s="9">
        <f>SUMIFS($C:$C,$B:$B,"="&amp;$H8,$A:$A,"="&amp;AD$1)</f>
        <v>22</v>
      </c>
      <c r="AE8" s="9">
        <f>SUMIFS($C:$C,$B:$B,"="&amp;$H8,$A:$A,"="&amp;AE$1)</f>
        <v>22</v>
      </c>
      <c r="AF8" s="9">
        <f>SUMIFS($C:$C,$B:$B,"="&amp;$H8,$A:$A,"="&amp;AF$1)</f>
        <v>22</v>
      </c>
      <c r="AH8" s="11">
        <f t="shared" si="0"/>
        <v>2</v>
      </c>
      <c r="AI8" s="11">
        <f t="shared" si="1"/>
        <v>21</v>
      </c>
      <c r="AJ8" s="11">
        <f t="shared" si="2"/>
        <v>0</v>
      </c>
    </row>
    <row r="9" spans="1:36" x14ac:dyDescent="0.25">
      <c r="A9" t="s">
        <v>8</v>
      </c>
      <c r="B9" t="s">
        <v>67</v>
      </c>
      <c r="C9">
        <v>0</v>
      </c>
      <c r="D9">
        <v>8</v>
      </c>
      <c r="E9">
        <v>12</v>
      </c>
      <c r="H9" t="s">
        <v>100</v>
      </c>
      <c r="I9" s="9">
        <f>SUMIFS($C:$C,$B:$B,"="&amp;$H9,$A:$A,"="&amp;I$1)</f>
        <v>0</v>
      </c>
      <c r="J9" s="9">
        <f>SUMIFS($C:$C,$B:$B,"="&amp;$H9,$A:$A,"="&amp;J$1)</f>
        <v>0</v>
      </c>
      <c r="K9" s="9">
        <f>SUMIFS($C:$C,$B:$B,"="&amp;$H9,$A:$A,"="&amp;K$1)</f>
        <v>0</v>
      </c>
      <c r="L9" s="9">
        <f>SUMIFS($C:$C,$B:$B,"="&amp;$H9,$A:$A,"="&amp;L$1)</f>
        <v>0</v>
      </c>
      <c r="M9" s="9">
        <f>SUMIFS($C:$C,$B:$B,"="&amp;$H9,$A:$A,"="&amp;M$1)</f>
        <v>0</v>
      </c>
      <c r="N9" s="9">
        <f>SUMIFS($C:$C,$B:$B,"="&amp;$H9,$A:$A,"="&amp;N$1)</f>
        <v>0</v>
      </c>
      <c r="O9" s="9">
        <f>SUMIFS($C:$C,$B:$B,"="&amp;$H9,$A:$A,"="&amp;O$1)</f>
        <v>0</v>
      </c>
      <c r="P9" s="9">
        <f>SUMIFS($C:$C,$B:$B,"="&amp;$H9,$A:$A,"="&amp;P$1)</f>
        <v>0</v>
      </c>
      <c r="Q9" s="9">
        <f>SUMIFS($C:$C,$B:$B,"="&amp;$H9,$A:$A,"="&amp;Q$1)</f>
        <v>0</v>
      </c>
      <c r="R9" s="9">
        <f>SUMIFS($C:$C,$B:$B,"="&amp;$H9,$A:$A,"="&amp;R$1)</f>
        <v>0</v>
      </c>
      <c r="S9" s="9">
        <f>SUMIFS($C:$C,$B:$B,"="&amp;$H9,$A:$A,"="&amp;S$1)</f>
        <v>0</v>
      </c>
      <c r="T9" s="9">
        <f>SUMIFS($C:$C,$B:$B,"="&amp;$H9,$A:$A,"="&amp;T$1)</f>
        <v>0</v>
      </c>
      <c r="U9" s="9">
        <f>SUMIFS($C:$C,$B:$B,"="&amp;$H9,$A:$A,"="&amp;U$1)</f>
        <v>0</v>
      </c>
      <c r="V9" s="9">
        <f>SUMIFS($C:$C,$B:$B,"="&amp;$H9,$A:$A,"="&amp;V$1)</f>
        <v>0</v>
      </c>
      <c r="W9" s="9">
        <f>SUMIFS($C:$C,$B:$B,"="&amp;$H9,$A:$A,"="&amp;W$1)</f>
        <v>0</v>
      </c>
      <c r="X9" s="9">
        <f>SUMIFS($C:$C,$B:$B,"="&amp;$H9,$A:$A,"="&amp;X$1)</f>
        <v>0</v>
      </c>
      <c r="Y9" s="9">
        <f>SUMIFS($C:$C,$B:$B,"="&amp;$H9,$A:$A,"="&amp;Y$1)</f>
        <v>1</v>
      </c>
      <c r="Z9" s="9">
        <f>SUMIFS($C:$C,$B:$B,"="&amp;$H9,$A:$A,"="&amp;Z$1)</f>
        <v>1</v>
      </c>
      <c r="AA9" s="9">
        <f>SUMIFS($C:$C,$B:$B,"="&amp;$H9,$A:$A,"="&amp;AA$1)</f>
        <v>1</v>
      </c>
      <c r="AB9" s="9">
        <f>SUMIFS($C:$C,$B:$B,"="&amp;$H9,$A:$A,"="&amp;AB$1)</f>
        <v>1</v>
      </c>
      <c r="AC9" s="9">
        <f>SUMIFS($C:$C,$B:$B,"="&amp;$H9,$A:$A,"="&amp;AC$1)</f>
        <v>1</v>
      </c>
      <c r="AD9" s="9">
        <f>SUMIFS($C:$C,$B:$B,"="&amp;$H9,$A:$A,"="&amp;AD$1)</f>
        <v>1</v>
      </c>
      <c r="AE9" s="9">
        <f>SUMIFS($C:$C,$B:$B,"="&amp;$H9,$A:$A,"="&amp;AE$1)</f>
        <v>1</v>
      </c>
      <c r="AF9" s="9">
        <f>SUMIFS($C:$C,$B:$B,"="&amp;$H9,$A:$A,"="&amp;AF$1)</f>
        <v>1</v>
      </c>
      <c r="AH9" s="11">
        <f t="shared" si="0"/>
        <v>1</v>
      </c>
      <c r="AI9" s="11">
        <f t="shared" si="1"/>
        <v>22</v>
      </c>
      <c r="AJ9" s="11">
        <f t="shared" si="2"/>
        <v>0</v>
      </c>
    </row>
    <row r="10" spans="1:36" x14ac:dyDescent="0.25">
      <c r="A10" t="s">
        <v>8</v>
      </c>
      <c r="B10" t="s">
        <v>68</v>
      </c>
      <c r="C10">
        <v>0</v>
      </c>
      <c r="D10">
        <v>11</v>
      </c>
      <c r="E10">
        <v>0</v>
      </c>
      <c r="H10" t="s">
        <v>95</v>
      </c>
      <c r="I10" s="9">
        <f>SUMIFS($C:$C,$B:$B,"="&amp;$H10,$A:$A,"="&amp;I$1)</f>
        <v>0</v>
      </c>
      <c r="J10" s="9">
        <f>SUMIFS($C:$C,$B:$B,"="&amp;$H10,$A:$A,"="&amp;J$1)</f>
        <v>0</v>
      </c>
      <c r="K10" s="9">
        <f>SUMIFS($C:$C,$B:$B,"="&amp;$H10,$A:$A,"="&amp;K$1)</f>
        <v>0</v>
      </c>
      <c r="L10" s="9">
        <f>SUMIFS($C:$C,$B:$B,"="&amp;$H10,$A:$A,"="&amp;L$1)</f>
        <v>0</v>
      </c>
      <c r="M10" s="9">
        <f>SUMIFS($C:$C,$B:$B,"="&amp;$H10,$A:$A,"="&amp;M$1)</f>
        <v>0</v>
      </c>
      <c r="N10" s="9">
        <f>SUMIFS($C:$C,$B:$B,"="&amp;$H10,$A:$A,"="&amp;N$1)</f>
        <v>0</v>
      </c>
      <c r="O10" s="9">
        <f>SUMIFS($C:$C,$B:$B,"="&amp;$H10,$A:$A,"="&amp;O$1)</f>
        <v>0</v>
      </c>
      <c r="P10" s="9">
        <f>SUMIFS($C:$C,$B:$B,"="&amp;$H10,$A:$A,"="&amp;P$1)</f>
        <v>0</v>
      </c>
      <c r="Q10" s="9">
        <f>SUMIFS($C:$C,$B:$B,"="&amp;$H10,$A:$A,"="&amp;Q$1)</f>
        <v>0</v>
      </c>
      <c r="R10" s="9">
        <f>SUMIFS($C:$C,$B:$B,"="&amp;$H10,$A:$A,"="&amp;R$1)</f>
        <v>0</v>
      </c>
      <c r="S10" s="9">
        <f>SUMIFS($C:$C,$B:$B,"="&amp;$H10,$A:$A,"="&amp;S$1)</f>
        <v>0</v>
      </c>
      <c r="T10" s="9">
        <f>SUMIFS($C:$C,$B:$B,"="&amp;$H10,$A:$A,"="&amp;T$1)</f>
        <v>0</v>
      </c>
      <c r="U10" s="9">
        <f>SUMIFS($C:$C,$B:$B,"="&amp;$H10,$A:$A,"="&amp;U$1)</f>
        <v>0</v>
      </c>
      <c r="V10" s="9">
        <f>SUMIFS($C:$C,$B:$B,"="&amp;$H10,$A:$A,"="&amp;V$1)</f>
        <v>0</v>
      </c>
      <c r="W10" s="9">
        <f>SUMIFS($C:$C,$B:$B,"="&amp;$H10,$A:$A,"="&amp;W$1)</f>
        <v>0</v>
      </c>
      <c r="X10" s="9">
        <f>SUMIFS($C:$C,$B:$B,"="&amp;$H10,$A:$A,"="&amp;X$1)</f>
        <v>0</v>
      </c>
      <c r="Y10" s="9">
        <f>SUMIFS($C:$C,$B:$B,"="&amp;$H10,$A:$A,"="&amp;Y$1)</f>
        <v>0</v>
      </c>
      <c r="Z10" s="9">
        <f>SUMIFS($C:$C,$B:$B,"="&amp;$H10,$A:$A,"="&amp;Z$1)</f>
        <v>0</v>
      </c>
      <c r="AA10" s="9">
        <f>SUMIFS($C:$C,$B:$B,"="&amp;$H10,$A:$A,"="&amp;AA$1)</f>
        <v>0</v>
      </c>
      <c r="AB10" s="9">
        <f>SUMIFS($C:$C,$B:$B,"="&amp;$H10,$A:$A,"="&amp;AB$1)</f>
        <v>0</v>
      </c>
      <c r="AC10" s="9">
        <f>SUMIFS($C:$C,$B:$B,"="&amp;$H10,$A:$A,"="&amp;AC$1)</f>
        <v>0</v>
      </c>
      <c r="AD10" s="9">
        <f>SUMIFS($C:$C,$B:$B,"="&amp;$H10,$A:$A,"="&amp;AD$1)</f>
        <v>0</v>
      </c>
      <c r="AE10" s="9">
        <f>SUMIFS($C:$C,$B:$B,"="&amp;$H10,$A:$A,"="&amp;AE$1)</f>
        <v>0</v>
      </c>
      <c r="AF10" s="9">
        <f>SUMIFS($C:$C,$B:$B,"="&amp;$H10,$A:$A,"="&amp;AF$1)</f>
        <v>0</v>
      </c>
      <c r="AH10" s="11">
        <f t="shared" si="0"/>
        <v>0</v>
      </c>
      <c r="AI10" s="11">
        <f t="shared" si="1"/>
        <v>23</v>
      </c>
      <c r="AJ10" s="11">
        <f t="shared" si="2"/>
        <v>0</v>
      </c>
    </row>
    <row r="11" spans="1:36" x14ac:dyDescent="0.25">
      <c r="A11" t="s">
        <v>8</v>
      </c>
      <c r="B11" t="s">
        <v>69</v>
      </c>
      <c r="C11">
        <v>0</v>
      </c>
      <c r="D11">
        <v>6</v>
      </c>
      <c r="E11">
        <v>4</v>
      </c>
      <c r="H11" t="s">
        <v>92</v>
      </c>
      <c r="I11" s="9">
        <f>SUMIFS($C:$C,$B:$B,"="&amp;$H11,$A:$A,"="&amp;I$1)</f>
        <v>0</v>
      </c>
      <c r="J11" s="9">
        <f>SUMIFS($C:$C,$B:$B,"="&amp;$H11,$A:$A,"="&amp;J$1)</f>
        <v>0</v>
      </c>
      <c r="K11" s="9">
        <f>SUMIFS($C:$C,$B:$B,"="&amp;$H11,$A:$A,"="&amp;K$1)</f>
        <v>0</v>
      </c>
      <c r="L11" s="9">
        <f>SUMIFS($C:$C,$B:$B,"="&amp;$H11,$A:$A,"="&amp;L$1)</f>
        <v>0</v>
      </c>
      <c r="M11" s="9">
        <f>SUMIFS($C:$C,$B:$B,"="&amp;$H11,$A:$A,"="&amp;M$1)</f>
        <v>0</v>
      </c>
      <c r="N11" s="9">
        <f>SUMIFS($C:$C,$B:$B,"="&amp;$H11,$A:$A,"="&amp;N$1)</f>
        <v>0</v>
      </c>
      <c r="O11" s="9">
        <f>SUMIFS($C:$C,$B:$B,"="&amp;$H11,$A:$A,"="&amp;O$1)</f>
        <v>0</v>
      </c>
      <c r="P11" s="9">
        <f>SUMIFS($C:$C,$B:$B,"="&amp;$H11,$A:$A,"="&amp;P$1)</f>
        <v>0</v>
      </c>
      <c r="Q11" s="9">
        <f>SUMIFS($C:$C,$B:$B,"="&amp;$H11,$A:$A,"="&amp;Q$1)</f>
        <v>0</v>
      </c>
      <c r="R11" s="9">
        <f>SUMIFS($C:$C,$B:$B,"="&amp;$H11,$A:$A,"="&amp;R$1)</f>
        <v>0</v>
      </c>
      <c r="S11" s="9">
        <f>SUMIFS($C:$C,$B:$B,"="&amp;$H11,$A:$A,"="&amp;S$1)</f>
        <v>1</v>
      </c>
      <c r="T11" s="9">
        <f>SUMIFS($C:$C,$B:$B,"="&amp;$H11,$A:$A,"="&amp;T$1)</f>
        <v>1</v>
      </c>
      <c r="U11" s="9">
        <f>SUMIFS($C:$C,$B:$B,"="&amp;$H11,$A:$A,"="&amp;U$1)</f>
        <v>1</v>
      </c>
      <c r="V11" s="9">
        <f>SUMIFS($C:$C,$B:$B,"="&amp;$H11,$A:$A,"="&amp;V$1)</f>
        <v>1</v>
      </c>
      <c r="W11" s="9">
        <f>SUMIFS($C:$C,$B:$B,"="&amp;$H11,$A:$A,"="&amp;W$1)</f>
        <v>1</v>
      </c>
      <c r="X11" s="9">
        <f>SUMIFS($C:$C,$B:$B,"="&amp;$H11,$A:$A,"="&amp;X$1)</f>
        <v>1</v>
      </c>
      <c r="Y11" s="9">
        <f>SUMIFS($C:$C,$B:$B,"="&amp;$H11,$A:$A,"="&amp;Y$1)</f>
        <v>0</v>
      </c>
      <c r="Z11" s="9">
        <f>SUMIFS($C:$C,$B:$B,"="&amp;$H11,$A:$A,"="&amp;Z$1)</f>
        <v>0</v>
      </c>
      <c r="AA11" s="9">
        <f>SUMIFS($C:$C,$B:$B,"="&amp;$H11,$A:$A,"="&amp;AA$1)</f>
        <v>0</v>
      </c>
      <c r="AB11" s="9">
        <f>SUMIFS($C:$C,$B:$B,"="&amp;$H11,$A:$A,"="&amp;AB$1)</f>
        <v>0</v>
      </c>
      <c r="AC11" s="9">
        <f>SUMIFS($C:$C,$B:$B,"="&amp;$H11,$A:$A,"="&amp;AC$1)</f>
        <v>1</v>
      </c>
      <c r="AD11" s="9">
        <f>SUMIFS($C:$C,$B:$B,"="&amp;$H11,$A:$A,"="&amp;AD$1)</f>
        <v>1</v>
      </c>
      <c r="AE11" s="9">
        <f>SUMIFS($C:$C,$B:$B,"="&amp;$H11,$A:$A,"="&amp;AE$1)</f>
        <v>1</v>
      </c>
      <c r="AF11" s="9">
        <f>SUMIFS($C:$C,$B:$B,"="&amp;$H11,$A:$A,"="&amp;AF$1)</f>
        <v>1</v>
      </c>
      <c r="AH11" s="11">
        <f t="shared" si="0"/>
        <v>2</v>
      </c>
      <c r="AI11" s="11">
        <f t="shared" si="1"/>
        <v>20</v>
      </c>
      <c r="AJ11" s="11">
        <f t="shared" si="2"/>
        <v>1</v>
      </c>
    </row>
    <row r="12" spans="1:36" x14ac:dyDescent="0.25">
      <c r="A12" t="s">
        <v>8</v>
      </c>
      <c r="B12" t="s">
        <v>70</v>
      </c>
      <c r="C12">
        <v>0</v>
      </c>
      <c r="D12">
        <v>8</v>
      </c>
      <c r="E12">
        <v>0</v>
      </c>
      <c r="H12" t="s">
        <v>94</v>
      </c>
      <c r="I12" s="9">
        <f>SUMIFS($C:$C,$B:$B,"="&amp;$H12,$A:$A,"="&amp;I$1)</f>
        <v>0</v>
      </c>
      <c r="J12" s="9">
        <f>SUMIFS($C:$C,$B:$B,"="&amp;$H12,$A:$A,"="&amp;J$1)</f>
        <v>0</v>
      </c>
      <c r="K12" s="9">
        <f>SUMIFS($C:$C,$B:$B,"="&amp;$H12,$A:$A,"="&amp;K$1)</f>
        <v>0</v>
      </c>
      <c r="L12" s="9">
        <f>SUMIFS($C:$C,$B:$B,"="&amp;$H12,$A:$A,"="&amp;L$1)</f>
        <v>0</v>
      </c>
      <c r="M12" s="9">
        <f>SUMIFS($C:$C,$B:$B,"="&amp;$H12,$A:$A,"="&amp;M$1)</f>
        <v>0</v>
      </c>
      <c r="N12" s="9">
        <f>SUMIFS($C:$C,$B:$B,"="&amp;$H12,$A:$A,"="&amp;N$1)</f>
        <v>0</v>
      </c>
      <c r="O12" s="9">
        <f>SUMIFS($C:$C,$B:$B,"="&amp;$H12,$A:$A,"="&amp;O$1)</f>
        <v>0</v>
      </c>
      <c r="P12" s="9">
        <f>SUMIFS($C:$C,$B:$B,"="&amp;$H12,$A:$A,"="&amp;P$1)</f>
        <v>0</v>
      </c>
      <c r="Q12" s="9">
        <f>SUMIFS($C:$C,$B:$B,"="&amp;$H12,$A:$A,"="&amp;Q$1)</f>
        <v>0</v>
      </c>
      <c r="R12" s="9">
        <f>SUMIFS($C:$C,$B:$B,"="&amp;$H12,$A:$A,"="&amp;R$1)</f>
        <v>0</v>
      </c>
      <c r="S12" s="9">
        <f>SUMIFS($C:$C,$B:$B,"="&amp;$H12,$A:$A,"="&amp;S$1)</f>
        <v>5</v>
      </c>
      <c r="T12" s="9">
        <f>SUMIFS($C:$C,$B:$B,"="&amp;$H12,$A:$A,"="&amp;T$1)</f>
        <v>5</v>
      </c>
      <c r="U12" s="9">
        <f>SUMIFS($C:$C,$B:$B,"="&amp;$H12,$A:$A,"="&amp;U$1)</f>
        <v>5</v>
      </c>
      <c r="V12" s="9">
        <f>SUMIFS($C:$C,$B:$B,"="&amp;$H12,$A:$A,"="&amp;V$1)</f>
        <v>6</v>
      </c>
      <c r="W12" s="9">
        <f>SUMIFS($C:$C,$B:$B,"="&amp;$H12,$A:$A,"="&amp;W$1)</f>
        <v>6</v>
      </c>
      <c r="X12" s="9">
        <f>SUMIFS($C:$C,$B:$B,"="&amp;$H12,$A:$A,"="&amp;X$1)</f>
        <v>6</v>
      </c>
      <c r="Y12" s="9">
        <f>SUMIFS($C:$C,$B:$B,"="&amp;$H12,$A:$A,"="&amp;Y$1)</f>
        <v>6</v>
      </c>
      <c r="Z12" s="9">
        <f>SUMIFS($C:$C,$B:$B,"="&amp;$H12,$A:$A,"="&amp;Z$1)</f>
        <v>6</v>
      </c>
      <c r="AA12" s="9">
        <f>SUMIFS($C:$C,$B:$B,"="&amp;$H12,$A:$A,"="&amp;AA$1)</f>
        <v>6</v>
      </c>
      <c r="AB12" s="9">
        <f>SUMIFS($C:$C,$B:$B,"="&amp;$H12,$A:$A,"="&amp;AB$1)</f>
        <v>6</v>
      </c>
      <c r="AC12" s="9">
        <f>SUMIFS($C:$C,$B:$B,"="&amp;$H12,$A:$A,"="&amp;AC$1)</f>
        <v>6</v>
      </c>
      <c r="AD12" s="9">
        <f>SUMIFS($C:$C,$B:$B,"="&amp;$H12,$A:$A,"="&amp;AD$1)</f>
        <v>6</v>
      </c>
      <c r="AE12" s="9">
        <f>SUMIFS($C:$C,$B:$B,"="&amp;$H12,$A:$A,"="&amp;AE$1)</f>
        <v>6</v>
      </c>
      <c r="AF12" s="9">
        <f>SUMIFS($C:$C,$B:$B,"="&amp;$H12,$A:$A,"="&amp;AF$1)</f>
        <v>6</v>
      </c>
      <c r="AH12" s="11">
        <f t="shared" si="0"/>
        <v>2</v>
      </c>
      <c r="AI12" s="11">
        <f t="shared" si="1"/>
        <v>21</v>
      </c>
      <c r="AJ12" s="11">
        <f t="shared" si="2"/>
        <v>0</v>
      </c>
    </row>
    <row r="13" spans="1:36" x14ac:dyDescent="0.25">
      <c r="A13" t="s">
        <v>8</v>
      </c>
      <c r="B13" t="s">
        <v>71</v>
      </c>
      <c r="C13">
        <v>0</v>
      </c>
      <c r="D13">
        <v>11</v>
      </c>
      <c r="E13">
        <v>0</v>
      </c>
      <c r="H13" t="s">
        <v>83</v>
      </c>
      <c r="I13" s="9">
        <f>SUMIFS($C:$C,$B:$B,"="&amp;$H13,$A:$A,"="&amp;I$1)</f>
        <v>0</v>
      </c>
      <c r="J13" s="9">
        <f>SUMIFS($C:$C,$B:$B,"="&amp;$H13,$A:$A,"="&amp;J$1)</f>
        <v>0</v>
      </c>
      <c r="K13" s="9">
        <f>SUMIFS($C:$C,$B:$B,"="&amp;$H13,$A:$A,"="&amp;K$1)</f>
        <v>0</v>
      </c>
      <c r="L13" s="9">
        <f>SUMIFS($C:$C,$B:$B,"="&amp;$H13,$A:$A,"="&amp;L$1)</f>
        <v>0</v>
      </c>
      <c r="M13" s="9">
        <f>SUMIFS($C:$C,$B:$B,"="&amp;$H13,$A:$A,"="&amp;M$1)</f>
        <v>0</v>
      </c>
      <c r="N13" s="9">
        <f>SUMIFS($C:$C,$B:$B,"="&amp;$H13,$A:$A,"="&amp;N$1)</f>
        <v>3</v>
      </c>
      <c r="O13" s="9">
        <f>SUMIFS($C:$C,$B:$B,"="&amp;$H13,$A:$A,"="&amp;O$1)</f>
        <v>3</v>
      </c>
      <c r="P13" s="9">
        <f>SUMIFS($C:$C,$B:$B,"="&amp;$H13,$A:$A,"="&amp;P$1)</f>
        <v>3</v>
      </c>
      <c r="Q13" s="9">
        <f>SUMIFS($C:$C,$B:$B,"="&amp;$H13,$A:$A,"="&amp;Q$1)</f>
        <v>3</v>
      </c>
      <c r="R13" s="9">
        <f>SUMIFS($C:$C,$B:$B,"="&amp;$H13,$A:$A,"="&amp;R$1)</f>
        <v>3</v>
      </c>
      <c r="S13" s="9">
        <f>SUMIFS($C:$C,$B:$B,"="&amp;$H13,$A:$A,"="&amp;S$1)</f>
        <v>2</v>
      </c>
      <c r="T13" s="9">
        <f>SUMIFS($C:$C,$B:$B,"="&amp;$H13,$A:$A,"="&amp;T$1)</f>
        <v>2</v>
      </c>
      <c r="U13" s="9">
        <f>SUMIFS($C:$C,$B:$B,"="&amp;$H13,$A:$A,"="&amp;U$1)</f>
        <v>2</v>
      </c>
      <c r="V13" s="9">
        <f>SUMIFS($C:$C,$B:$B,"="&amp;$H13,$A:$A,"="&amp;V$1)</f>
        <v>2</v>
      </c>
      <c r="W13" s="9">
        <f>SUMIFS($C:$C,$B:$B,"="&amp;$H13,$A:$A,"="&amp;W$1)</f>
        <v>2</v>
      </c>
      <c r="X13" s="9">
        <f>SUMIFS($C:$C,$B:$B,"="&amp;$H13,$A:$A,"="&amp;X$1)</f>
        <v>2</v>
      </c>
      <c r="Y13" s="9">
        <f>SUMIFS($C:$C,$B:$B,"="&amp;$H13,$A:$A,"="&amp;Y$1)</f>
        <v>6</v>
      </c>
      <c r="Z13" s="9">
        <f>SUMIFS($C:$C,$B:$B,"="&amp;$H13,$A:$A,"="&amp;Z$1)</f>
        <v>6</v>
      </c>
      <c r="AA13" s="9">
        <f>SUMIFS($C:$C,$B:$B,"="&amp;$H13,$A:$A,"="&amp;AA$1)</f>
        <v>7</v>
      </c>
      <c r="AB13" s="9">
        <f>SUMIFS($C:$C,$B:$B,"="&amp;$H13,$A:$A,"="&amp;AB$1)</f>
        <v>7</v>
      </c>
      <c r="AC13" s="9">
        <f>SUMIFS($C:$C,$B:$B,"="&amp;$H13,$A:$A,"="&amp;AC$1)</f>
        <v>8</v>
      </c>
      <c r="AD13" s="9">
        <f>SUMIFS($C:$C,$B:$B,"="&amp;$H13,$A:$A,"="&amp;AD$1)</f>
        <v>8</v>
      </c>
      <c r="AE13" s="9">
        <f>SUMIFS($C:$C,$B:$B,"="&amp;$H13,$A:$A,"="&amp;AE$1)</f>
        <v>8</v>
      </c>
      <c r="AF13" s="9">
        <f>SUMIFS($C:$C,$B:$B,"="&amp;$H13,$A:$A,"="&amp;AF$1)</f>
        <v>8</v>
      </c>
      <c r="AH13" s="11">
        <f t="shared" si="0"/>
        <v>4</v>
      </c>
      <c r="AI13" s="11">
        <f t="shared" si="1"/>
        <v>18</v>
      </c>
      <c r="AJ13" s="11">
        <f t="shared" si="2"/>
        <v>1</v>
      </c>
    </row>
    <row r="14" spans="1:36" x14ac:dyDescent="0.25">
      <c r="A14" t="s">
        <v>8</v>
      </c>
      <c r="B14" t="s">
        <v>72</v>
      </c>
      <c r="C14">
        <v>0</v>
      </c>
      <c r="D14">
        <v>2</v>
      </c>
      <c r="E14">
        <v>0</v>
      </c>
      <c r="H14" t="s">
        <v>84</v>
      </c>
      <c r="I14" s="9">
        <f>SUMIFS($C:$C,$B:$B,"="&amp;$H14,$A:$A,"="&amp;I$1)</f>
        <v>0</v>
      </c>
      <c r="J14" s="9">
        <f>SUMIFS($C:$C,$B:$B,"="&amp;$H14,$A:$A,"="&amp;J$1)</f>
        <v>0</v>
      </c>
      <c r="K14" s="9">
        <f>SUMIFS($C:$C,$B:$B,"="&amp;$H14,$A:$A,"="&amp;K$1)</f>
        <v>0</v>
      </c>
      <c r="L14" s="9">
        <f>SUMIFS($C:$C,$B:$B,"="&amp;$H14,$A:$A,"="&amp;L$1)</f>
        <v>0</v>
      </c>
      <c r="M14" s="9">
        <f>SUMIFS($C:$C,$B:$B,"="&amp;$H14,$A:$A,"="&amp;M$1)</f>
        <v>0</v>
      </c>
      <c r="N14" s="9">
        <f>SUMIFS($C:$C,$B:$B,"="&amp;$H14,$A:$A,"="&amp;N$1)</f>
        <v>4</v>
      </c>
      <c r="O14" s="9">
        <f>SUMIFS($C:$C,$B:$B,"="&amp;$H14,$A:$A,"="&amp;O$1)</f>
        <v>4</v>
      </c>
      <c r="P14" s="9">
        <f>SUMIFS($C:$C,$B:$B,"="&amp;$H14,$A:$A,"="&amp;P$1)</f>
        <v>4</v>
      </c>
      <c r="Q14" s="9">
        <f>SUMIFS($C:$C,$B:$B,"="&amp;$H14,$A:$A,"="&amp;Q$1)</f>
        <v>4</v>
      </c>
      <c r="R14" s="9">
        <f>SUMIFS($C:$C,$B:$B,"="&amp;$H14,$A:$A,"="&amp;R$1)</f>
        <v>4</v>
      </c>
      <c r="S14" s="9">
        <f>SUMIFS($C:$C,$B:$B,"="&amp;$H14,$A:$A,"="&amp;S$1)</f>
        <v>5</v>
      </c>
      <c r="T14" s="9">
        <f>SUMIFS($C:$C,$B:$B,"="&amp;$H14,$A:$A,"="&amp;T$1)</f>
        <v>5</v>
      </c>
      <c r="U14" s="9">
        <f>SUMIFS($C:$C,$B:$B,"="&amp;$H14,$A:$A,"="&amp;U$1)</f>
        <v>6</v>
      </c>
      <c r="V14" s="9">
        <f>SUMIFS($C:$C,$B:$B,"="&amp;$H14,$A:$A,"="&amp;V$1)</f>
        <v>7</v>
      </c>
      <c r="W14" s="9">
        <f>SUMIFS($C:$C,$B:$B,"="&amp;$H14,$A:$A,"="&amp;W$1)</f>
        <v>7</v>
      </c>
      <c r="X14" s="9">
        <f>SUMIFS($C:$C,$B:$B,"="&amp;$H14,$A:$A,"="&amp;X$1)</f>
        <v>7</v>
      </c>
      <c r="Y14" s="9">
        <f>SUMIFS($C:$C,$B:$B,"="&amp;$H14,$A:$A,"="&amp;Y$1)</f>
        <v>6</v>
      </c>
      <c r="Z14" s="9">
        <f>SUMIFS($C:$C,$B:$B,"="&amp;$H14,$A:$A,"="&amp;Z$1)</f>
        <v>6</v>
      </c>
      <c r="AA14" s="9">
        <f>SUMIFS($C:$C,$B:$B,"="&amp;$H14,$A:$A,"="&amp;AA$1)</f>
        <v>7</v>
      </c>
      <c r="AB14" s="9">
        <f>SUMIFS($C:$C,$B:$B,"="&amp;$H14,$A:$A,"="&amp;AB$1)</f>
        <v>7</v>
      </c>
      <c r="AC14" s="9">
        <f>SUMIFS($C:$C,$B:$B,"="&amp;$H14,$A:$A,"="&amp;AC$1)</f>
        <v>7</v>
      </c>
      <c r="AD14" s="9">
        <f>SUMIFS($C:$C,$B:$B,"="&amp;$H14,$A:$A,"="&amp;AD$1)</f>
        <v>7</v>
      </c>
      <c r="AE14" s="9">
        <f>SUMIFS($C:$C,$B:$B,"="&amp;$H14,$A:$A,"="&amp;AE$1)</f>
        <v>7</v>
      </c>
      <c r="AF14" s="9">
        <f>SUMIFS($C:$C,$B:$B,"="&amp;$H14,$A:$A,"="&amp;AF$1)</f>
        <v>7</v>
      </c>
      <c r="AH14" s="11">
        <f t="shared" si="0"/>
        <v>5</v>
      </c>
      <c r="AI14" s="11">
        <f t="shared" si="1"/>
        <v>17</v>
      </c>
      <c r="AJ14" s="11">
        <f t="shared" si="2"/>
        <v>1</v>
      </c>
    </row>
    <row r="15" spans="1:36" x14ac:dyDescent="0.25">
      <c r="A15" t="s">
        <v>8</v>
      </c>
      <c r="B15" t="s">
        <v>73</v>
      </c>
      <c r="C15">
        <v>0</v>
      </c>
      <c r="D15">
        <v>10</v>
      </c>
      <c r="E15">
        <v>1</v>
      </c>
      <c r="H15" t="s">
        <v>85</v>
      </c>
      <c r="I15" s="9">
        <f>SUMIFS($C:$C,$B:$B,"="&amp;$H15,$A:$A,"="&amp;I$1)</f>
        <v>0</v>
      </c>
      <c r="J15" s="9">
        <f>SUMIFS($C:$C,$B:$B,"="&amp;$H15,$A:$A,"="&amp;J$1)</f>
        <v>0</v>
      </c>
      <c r="K15" s="9">
        <f>SUMIFS($C:$C,$B:$B,"="&amp;$H15,$A:$A,"="&amp;K$1)</f>
        <v>0</v>
      </c>
      <c r="L15" s="9">
        <f>SUMIFS($C:$C,$B:$B,"="&amp;$H15,$A:$A,"="&amp;L$1)</f>
        <v>0</v>
      </c>
      <c r="M15" s="9">
        <f>SUMIFS($C:$C,$B:$B,"="&amp;$H15,$A:$A,"="&amp;M$1)</f>
        <v>0</v>
      </c>
      <c r="N15" s="9">
        <f>SUMIFS($C:$C,$B:$B,"="&amp;$H15,$A:$A,"="&amp;N$1)</f>
        <v>1</v>
      </c>
      <c r="O15" s="9">
        <f>SUMIFS($C:$C,$B:$B,"="&amp;$H15,$A:$A,"="&amp;O$1)</f>
        <v>1</v>
      </c>
      <c r="P15" s="9">
        <f>SUMIFS($C:$C,$B:$B,"="&amp;$H15,$A:$A,"="&amp;P$1)</f>
        <v>1</v>
      </c>
      <c r="Q15" s="9">
        <f>SUMIFS($C:$C,$B:$B,"="&amp;$H15,$A:$A,"="&amp;Q$1)</f>
        <v>1</v>
      </c>
      <c r="R15" s="9">
        <f>SUMIFS($C:$C,$B:$B,"="&amp;$H15,$A:$A,"="&amp;R$1)</f>
        <v>1</v>
      </c>
      <c r="S15" s="9">
        <f>SUMIFS($C:$C,$B:$B,"="&amp;$H15,$A:$A,"="&amp;S$1)</f>
        <v>3</v>
      </c>
      <c r="T15" s="9">
        <f>SUMIFS($C:$C,$B:$B,"="&amp;$H15,$A:$A,"="&amp;T$1)</f>
        <v>3</v>
      </c>
      <c r="U15" s="9">
        <f>SUMIFS($C:$C,$B:$B,"="&amp;$H15,$A:$A,"="&amp;U$1)</f>
        <v>3</v>
      </c>
      <c r="V15" s="9">
        <f>SUMIFS($C:$C,$B:$B,"="&amp;$H15,$A:$A,"="&amp;V$1)</f>
        <v>3</v>
      </c>
      <c r="W15" s="9">
        <f>SUMIFS($C:$C,$B:$B,"="&amp;$H15,$A:$A,"="&amp;W$1)</f>
        <v>3</v>
      </c>
      <c r="X15" s="9">
        <f>SUMIFS($C:$C,$B:$B,"="&amp;$H15,$A:$A,"="&amp;X$1)</f>
        <v>3</v>
      </c>
      <c r="Y15" s="9">
        <f>SUMIFS($C:$C,$B:$B,"="&amp;$H15,$A:$A,"="&amp;Y$1)</f>
        <v>3</v>
      </c>
      <c r="Z15" s="9">
        <f>SUMIFS($C:$C,$B:$B,"="&amp;$H15,$A:$A,"="&amp;Z$1)</f>
        <v>3</v>
      </c>
      <c r="AA15" s="9">
        <f>SUMIFS($C:$C,$B:$B,"="&amp;$H15,$A:$A,"="&amp;AA$1)</f>
        <v>2</v>
      </c>
      <c r="AB15" s="9">
        <f>SUMIFS($C:$C,$B:$B,"="&amp;$H15,$A:$A,"="&amp;AB$1)</f>
        <v>2</v>
      </c>
      <c r="AC15" s="9">
        <f>SUMIFS($C:$C,$B:$B,"="&amp;$H15,$A:$A,"="&amp;AC$1)</f>
        <v>1</v>
      </c>
      <c r="AD15" s="9">
        <f>SUMIFS($C:$C,$B:$B,"="&amp;$H15,$A:$A,"="&amp;AD$1)</f>
        <v>1</v>
      </c>
      <c r="AE15" s="9">
        <f>SUMIFS($C:$C,$B:$B,"="&amp;$H15,$A:$A,"="&amp;AE$1)</f>
        <v>1</v>
      </c>
      <c r="AF15" s="9">
        <f>SUMIFS($C:$C,$B:$B,"="&amp;$H15,$A:$A,"="&amp;AF$1)</f>
        <v>3</v>
      </c>
      <c r="AH15" s="11">
        <f t="shared" si="0"/>
        <v>3</v>
      </c>
      <c r="AI15" s="11">
        <f t="shared" si="1"/>
        <v>18</v>
      </c>
      <c r="AJ15" s="11">
        <f t="shared" si="2"/>
        <v>2</v>
      </c>
    </row>
    <row r="16" spans="1:36" x14ac:dyDescent="0.25">
      <c r="A16" t="s">
        <v>8</v>
      </c>
      <c r="B16" t="s">
        <v>74</v>
      </c>
      <c r="C16">
        <v>45</v>
      </c>
      <c r="D16">
        <v>5</v>
      </c>
      <c r="E16">
        <v>29</v>
      </c>
      <c r="H16" t="s">
        <v>86</v>
      </c>
      <c r="I16" s="9">
        <f>SUMIFS($C:$C,$B:$B,"="&amp;$H16,$A:$A,"="&amp;I$1)</f>
        <v>0</v>
      </c>
      <c r="J16" s="9">
        <f>SUMIFS($C:$C,$B:$B,"="&amp;$H16,$A:$A,"="&amp;J$1)</f>
        <v>0</v>
      </c>
      <c r="K16" s="9">
        <f>SUMIFS($C:$C,$B:$B,"="&amp;$H16,$A:$A,"="&amp;K$1)</f>
        <v>0</v>
      </c>
      <c r="L16" s="9">
        <f>SUMIFS($C:$C,$B:$B,"="&amp;$H16,$A:$A,"="&amp;L$1)</f>
        <v>0</v>
      </c>
      <c r="M16" s="9">
        <f>SUMIFS($C:$C,$B:$B,"="&amp;$H16,$A:$A,"="&amp;M$1)</f>
        <v>0</v>
      </c>
      <c r="N16" s="9">
        <f>SUMIFS($C:$C,$B:$B,"="&amp;$H16,$A:$A,"="&amp;N$1)</f>
        <v>4</v>
      </c>
      <c r="O16" s="9">
        <f>SUMIFS($C:$C,$B:$B,"="&amp;$H16,$A:$A,"="&amp;O$1)</f>
        <v>4</v>
      </c>
      <c r="P16" s="9">
        <f>SUMIFS($C:$C,$B:$B,"="&amp;$H16,$A:$A,"="&amp;P$1)</f>
        <v>4</v>
      </c>
      <c r="Q16" s="9">
        <f>SUMIFS($C:$C,$B:$B,"="&amp;$H16,$A:$A,"="&amp;Q$1)</f>
        <v>4</v>
      </c>
      <c r="R16" s="9">
        <f>SUMIFS($C:$C,$B:$B,"="&amp;$H16,$A:$A,"="&amp;R$1)</f>
        <v>4</v>
      </c>
      <c r="S16" s="9">
        <f>SUMIFS($C:$C,$B:$B,"="&amp;$H16,$A:$A,"="&amp;S$1)</f>
        <v>4</v>
      </c>
      <c r="T16" s="9">
        <f>SUMIFS($C:$C,$B:$B,"="&amp;$H16,$A:$A,"="&amp;T$1)</f>
        <v>4</v>
      </c>
      <c r="U16" s="9">
        <f>SUMIFS($C:$C,$B:$B,"="&amp;$H16,$A:$A,"="&amp;U$1)</f>
        <v>4</v>
      </c>
      <c r="V16" s="9">
        <f>SUMIFS($C:$C,$B:$B,"="&amp;$H16,$A:$A,"="&amp;V$1)</f>
        <v>4</v>
      </c>
      <c r="W16" s="9">
        <f>SUMIFS($C:$C,$B:$B,"="&amp;$H16,$A:$A,"="&amp;W$1)</f>
        <v>4</v>
      </c>
      <c r="X16" s="9">
        <f>SUMIFS($C:$C,$B:$B,"="&amp;$H16,$A:$A,"="&amp;X$1)</f>
        <v>4</v>
      </c>
      <c r="Y16" s="9">
        <f>SUMIFS($C:$C,$B:$B,"="&amp;$H16,$A:$A,"="&amp;Y$1)</f>
        <v>6</v>
      </c>
      <c r="Z16" s="9">
        <f>SUMIFS($C:$C,$B:$B,"="&amp;$H16,$A:$A,"="&amp;Z$1)</f>
        <v>6</v>
      </c>
      <c r="AA16" s="9">
        <f>SUMIFS($C:$C,$B:$B,"="&amp;$H16,$A:$A,"="&amp;AA$1)</f>
        <v>6</v>
      </c>
      <c r="AB16" s="9">
        <f>SUMIFS($C:$C,$B:$B,"="&amp;$H16,$A:$A,"="&amp;AB$1)</f>
        <v>6</v>
      </c>
      <c r="AC16" s="9">
        <f>SUMIFS($C:$C,$B:$B,"="&amp;$H16,$A:$A,"="&amp;AC$1)</f>
        <v>6</v>
      </c>
      <c r="AD16" s="9">
        <f>SUMIFS($C:$C,$B:$B,"="&amp;$H16,$A:$A,"="&amp;AD$1)</f>
        <v>6</v>
      </c>
      <c r="AE16" s="9">
        <f>SUMIFS($C:$C,$B:$B,"="&amp;$H16,$A:$A,"="&amp;AE$1)</f>
        <v>6</v>
      </c>
      <c r="AF16" s="9">
        <f>SUMIFS($C:$C,$B:$B,"="&amp;$H16,$A:$A,"="&amp;AF$1)</f>
        <v>6</v>
      </c>
      <c r="AH16" s="11">
        <f t="shared" si="0"/>
        <v>2</v>
      </c>
      <c r="AI16" s="11">
        <f t="shared" si="1"/>
        <v>21</v>
      </c>
      <c r="AJ16" s="11">
        <f t="shared" si="2"/>
        <v>0</v>
      </c>
    </row>
    <row r="17" spans="1:36" x14ac:dyDescent="0.25">
      <c r="A17" t="s">
        <v>8</v>
      </c>
      <c r="B17" t="s">
        <v>75</v>
      </c>
      <c r="C17">
        <v>1</v>
      </c>
      <c r="D17">
        <v>0</v>
      </c>
      <c r="E17">
        <v>2</v>
      </c>
      <c r="H17" t="s">
        <v>87</v>
      </c>
      <c r="I17" s="9">
        <f>SUMIFS($C:$C,$B:$B,"="&amp;$H17,$A:$A,"="&amp;I$1)</f>
        <v>0</v>
      </c>
      <c r="J17" s="9">
        <f>SUMIFS($C:$C,$B:$B,"="&amp;$H17,$A:$A,"="&amp;J$1)</f>
        <v>0</v>
      </c>
      <c r="K17" s="9">
        <f>SUMIFS($C:$C,$B:$B,"="&amp;$H17,$A:$A,"="&amp;K$1)</f>
        <v>0</v>
      </c>
      <c r="L17" s="9">
        <f>SUMIFS($C:$C,$B:$B,"="&amp;$H17,$A:$A,"="&amp;L$1)</f>
        <v>0</v>
      </c>
      <c r="M17" s="9">
        <f>SUMIFS($C:$C,$B:$B,"="&amp;$H17,$A:$A,"="&amp;M$1)</f>
        <v>0</v>
      </c>
      <c r="N17" s="9">
        <f>SUMIFS($C:$C,$B:$B,"="&amp;$H17,$A:$A,"="&amp;N$1)</f>
        <v>0</v>
      </c>
      <c r="O17" s="9">
        <f>SUMIFS($C:$C,$B:$B,"="&amp;$H17,$A:$A,"="&amp;O$1)</f>
        <v>0</v>
      </c>
      <c r="P17" s="9">
        <f>SUMIFS($C:$C,$B:$B,"="&amp;$H17,$A:$A,"="&amp;P$1)</f>
        <v>0</v>
      </c>
      <c r="Q17" s="9">
        <f>SUMIFS($C:$C,$B:$B,"="&amp;$H17,$A:$A,"="&amp;Q$1)</f>
        <v>0</v>
      </c>
      <c r="R17" s="9">
        <f>SUMIFS($C:$C,$B:$B,"="&amp;$H17,$A:$A,"="&amp;R$1)</f>
        <v>0</v>
      </c>
      <c r="S17" s="9">
        <f>SUMIFS($C:$C,$B:$B,"="&amp;$H17,$A:$A,"="&amp;S$1)</f>
        <v>0</v>
      </c>
      <c r="T17" s="9">
        <f>SUMIFS($C:$C,$B:$B,"="&amp;$H17,$A:$A,"="&amp;T$1)</f>
        <v>0</v>
      </c>
      <c r="U17" s="9">
        <f>SUMIFS($C:$C,$B:$B,"="&amp;$H17,$A:$A,"="&amp;U$1)</f>
        <v>0</v>
      </c>
      <c r="V17" s="9">
        <f>SUMIFS($C:$C,$B:$B,"="&amp;$H17,$A:$A,"="&amp;V$1)</f>
        <v>0</v>
      </c>
      <c r="W17" s="9">
        <f>SUMIFS($C:$C,$B:$B,"="&amp;$H17,$A:$A,"="&amp;W$1)</f>
        <v>0</v>
      </c>
      <c r="X17" s="9">
        <f>SUMIFS($C:$C,$B:$B,"="&amp;$H17,$A:$A,"="&amp;X$1)</f>
        <v>0</v>
      </c>
      <c r="Y17" s="9">
        <f>SUMIFS($C:$C,$B:$B,"="&amp;$H17,$A:$A,"="&amp;Y$1)</f>
        <v>0</v>
      </c>
      <c r="Z17" s="9">
        <f>SUMIFS($C:$C,$B:$B,"="&amp;$H17,$A:$A,"="&amp;Z$1)</f>
        <v>0</v>
      </c>
      <c r="AA17" s="9">
        <f>SUMIFS($C:$C,$B:$B,"="&amp;$H17,$A:$A,"="&amp;AA$1)</f>
        <v>0</v>
      </c>
      <c r="AB17" s="9">
        <f>SUMIFS($C:$C,$B:$B,"="&amp;$H17,$A:$A,"="&amp;AB$1)</f>
        <v>0</v>
      </c>
      <c r="AC17" s="9">
        <f>SUMIFS($C:$C,$B:$B,"="&amp;$H17,$A:$A,"="&amp;AC$1)</f>
        <v>0</v>
      </c>
      <c r="AD17" s="9">
        <f>SUMIFS($C:$C,$B:$B,"="&amp;$H17,$A:$A,"="&amp;AD$1)</f>
        <v>0</v>
      </c>
      <c r="AE17" s="9">
        <f>SUMIFS($C:$C,$B:$B,"="&amp;$H17,$A:$A,"="&amp;AE$1)</f>
        <v>0</v>
      </c>
      <c r="AF17" s="9">
        <f>SUMIFS($C:$C,$B:$B,"="&amp;$H17,$A:$A,"="&amp;AF$1)</f>
        <v>0</v>
      </c>
      <c r="AH17" s="11">
        <f t="shared" si="0"/>
        <v>0</v>
      </c>
      <c r="AI17" s="11">
        <f t="shared" si="1"/>
        <v>23</v>
      </c>
      <c r="AJ17" s="11">
        <f t="shared" si="2"/>
        <v>0</v>
      </c>
    </row>
    <row r="18" spans="1:36" x14ac:dyDescent="0.25">
      <c r="A18" t="s">
        <v>8</v>
      </c>
      <c r="B18" t="s">
        <v>65</v>
      </c>
      <c r="C18">
        <v>2</v>
      </c>
      <c r="D18">
        <v>0</v>
      </c>
      <c r="E18">
        <v>6</v>
      </c>
      <c r="H18" t="s">
        <v>88</v>
      </c>
      <c r="I18" s="9">
        <f>SUMIFS($C:$C,$B:$B,"="&amp;$H18,$A:$A,"="&amp;I$1)</f>
        <v>0</v>
      </c>
      <c r="J18" s="9">
        <f>SUMIFS($C:$C,$B:$B,"="&amp;$H18,$A:$A,"="&amp;J$1)</f>
        <v>0</v>
      </c>
      <c r="K18" s="9">
        <f>SUMIFS($C:$C,$B:$B,"="&amp;$H18,$A:$A,"="&amp;K$1)</f>
        <v>0</v>
      </c>
      <c r="L18" s="9">
        <f>SUMIFS($C:$C,$B:$B,"="&amp;$H18,$A:$A,"="&amp;L$1)</f>
        <v>0</v>
      </c>
      <c r="M18" s="9">
        <f>SUMIFS($C:$C,$B:$B,"="&amp;$H18,$A:$A,"="&amp;M$1)</f>
        <v>0</v>
      </c>
      <c r="N18" s="9">
        <f>SUMIFS($C:$C,$B:$B,"="&amp;$H18,$A:$A,"="&amp;N$1)</f>
        <v>1</v>
      </c>
      <c r="O18" s="9">
        <f>SUMIFS($C:$C,$B:$B,"="&amp;$H18,$A:$A,"="&amp;O$1)</f>
        <v>1</v>
      </c>
      <c r="P18" s="9">
        <f>SUMIFS($C:$C,$B:$B,"="&amp;$H18,$A:$A,"="&amp;P$1)</f>
        <v>1</v>
      </c>
      <c r="Q18" s="9">
        <f>SUMIFS($C:$C,$B:$B,"="&amp;$H18,$A:$A,"="&amp;Q$1)</f>
        <v>1</v>
      </c>
      <c r="R18" s="9">
        <f>SUMIFS($C:$C,$B:$B,"="&amp;$H18,$A:$A,"="&amp;R$1)</f>
        <v>1</v>
      </c>
      <c r="S18" s="9">
        <f>SUMIFS($C:$C,$B:$B,"="&amp;$H18,$A:$A,"="&amp;S$1)</f>
        <v>2</v>
      </c>
      <c r="T18" s="9">
        <f>SUMIFS($C:$C,$B:$B,"="&amp;$H18,$A:$A,"="&amp;T$1)</f>
        <v>2</v>
      </c>
      <c r="U18" s="9">
        <f>SUMIFS($C:$C,$B:$B,"="&amp;$H18,$A:$A,"="&amp;U$1)</f>
        <v>2</v>
      </c>
      <c r="V18" s="9">
        <f>SUMIFS($C:$C,$B:$B,"="&amp;$H18,$A:$A,"="&amp;V$1)</f>
        <v>2</v>
      </c>
      <c r="W18" s="9">
        <f>SUMIFS($C:$C,$B:$B,"="&amp;$H18,$A:$A,"="&amp;W$1)</f>
        <v>2</v>
      </c>
      <c r="X18" s="9">
        <f>SUMIFS($C:$C,$B:$B,"="&amp;$H18,$A:$A,"="&amp;X$1)</f>
        <v>2</v>
      </c>
      <c r="Y18" s="9">
        <f>SUMIFS($C:$C,$B:$B,"="&amp;$H18,$A:$A,"="&amp;Y$1)</f>
        <v>2</v>
      </c>
      <c r="Z18" s="9">
        <f>SUMIFS($C:$C,$B:$B,"="&amp;$H18,$A:$A,"="&amp;Z$1)</f>
        <v>2</v>
      </c>
      <c r="AA18" s="9">
        <f>SUMIFS($C:$C,$B:$B,"="&amp;$H18,$A:$A,"="&amp;AA$1)</f>
        <v>2</v>
      </c>
      <c r="AB18" s="9">
        <f>SUMIFS($C:$C,$B:$B,"="&amp;$H18,$A:$A,"="&amp;AB$1)</f>
        <v>2</v>
      </c>
      <c r="AC18" s="9">
        <f>SUMIFS($C:$C,$B:$B,"="&amp;$H18,$A:$A,"="&amp;AC$1)</f>
        <v>3</v>
      </c>
      <c r="AD18" s="9">
        <f>SUMIFS($C:$C,$B:$B,"="&amp;$H18,$A:$A,"="&amp;AD$1)</f>
        <v>3</v>
      </c>
      <c r="AE18" s="9">
        <f>SUMIFS($C:$C,$B:$B,"="&amp;$H18,$A:$A,"="&amp;AE$1)</f>
        <v>3</v>
      </c>
      <c r="AF18" s="9">
        <f>SUMIFS($C:$C,$B:$B,"="&amp;$H18,$A:$A,"="&amp;AF$1)</f>
        <v>3</v>
      </c>
      <c r="AH18" s="11">
        <f t="shared" si="0"/>
        <v>3</v>
      </c>
      <c r="AI18" s="11">
        <f t="shared" si="1"/>
        <v>20</v>
      </c>
      <c r="AJ18" s="11">
        <f t="shared" si="2"/>
        <v>0</v>
      </c>
    </row>
    <row r="19" spans="1:36" x14ac:dyDescent="0.25">
      <c r="A19" t="s">
        <v>9</v>
      </c>
      <c r="B19" t="s">
        <v>64</v>
      </c>
      <c r="C19">
        <v>103</v>
      </c>
      <c r="D19">
        <v>3</v>
      </c>
      <c r="E19">
        <v>189</v>
      </c>
      <c r="H19" t="s">
        <v>89</v>
      </c>
      <c r="I19" s="9">
        <f>SUMIFS($C:$C,$B:$B,"="&amp;$H19,$A:$A,"="&amp;I$1)</f>
        <v>0</v>
      </c>
      <c r="J19" s="9">
        <f>SUMIFS($C:$C,$B:$B,"="&amp;$H19,$A:$A,"="&amp;J$1)</f>
        <v>0</v>
      </c>
      <c r="K19" s="9">
        <f>SUMIFS($C:$C,$B:$B,"="&amp;$H19,$A:$A,"="&amp;K$1)</f>
        <v>0</v>
      </c>
      <c r="L19" s="9">
        <f>SUMIFS($C:$C,$B:$B,"="&amp;$H19,$A:$A,"="&amp;L$1)</f>
        <v>0</v>
      </c>
      <c r="M19" s="9">
        <f>SUMIFS($C:$C,$B:$B,"="&amp;$H19,$A:$A,"="&amp;M$1)</f>
        <v>0</v>
      </c>
      <c r="N19" s="9">
        <f>SUMIFS($C:$C,$B:$B,"="&amp;$H19,$A:$A,"="&amp;N$1)</f>
        <v>3</v>
      </c>
      <c r="O19" s="9">
        <f>SUMIFS($C:$C,$B:$B,"="&amp;$H19,$A:$A,"="&amp;O$1)</f>
        <v>3</v>
      </c>
      <c r="P19" s="9">
        <f>SUMIFS($C:$C,$B:$B,"="&amp;$H19,$A:$A,"="&amp;P$1)</f>
        <v>4</v>
      </c>
      <c r="Q19" s="9">
        <f>SUMIFS($C:$C,$B:$B,"="&amp;$H19,$A:$A,"="&amp;Q$1)</f>
        <v>4</v>
      </c>
      <c r="R19" s="9">
        <f>SUMIFS($C:$C,$B:$B,"="&amp;$H19,$A:$A,"="&amp;R$1)</f>
        <v>4</v>
      </c>
      <c r="S19" s="9">
        <f>SUMIFS($C:$C,$B:$B,"="&amp;$H19,$A:$A,"="&amp;S$1)</f>
        <v>6</v>
      </c>
      <c r="T19" s="9">
        <f>SUMIFS($C:$C,$B:$B,"="&amp;$H19,$A:$A,"="&amp;T$1)</f>
        <v>6</v>
      </c>
      <c r="U19" s="9">
        <f>SUMIFS($C:$C,$B:$B,"="&amp;$H19,$A:$A,"="&amp;U$1)</f>
        <v>7</v>
      </c>
      <c r="V19" s="9">
        <f>SUMIFS($C:$C,$B:$B,"="&amp;$H19,$A:$A,"="&amp;V$1)</f>
        <v>8</v>
      </c>
      <c r="W19" s="9">
        <f>SUMIFS($C:$C,$B:$B,"="&amp;$H19,$A:$A,"="&amp;W$1)</f>
        <v>8</v>
      </c>
      <c r="X19" s="9">
        <f>SUMIFS($C:$C,$B:$B,"="&amp;$H19,$A:$A,"="&amp;X$1)</f>
        <v>8</v>
      </c>
      <c r="Y19" s="9">
        <f>SUMIFS($C:$C,$B:$B,"="&amp;$H19,$A:$A,"="&amp;Y$1)</f>
        <v>12</v>
      </c>
      <c r="Z19" s="9">
        <f>SUMIFS($C:$C,$B:$B,"="&amp;$H19,$A:$A,"="&amp;Z$1)</f>
        <v>12</v>
      </c>
      <c r="AA19" s="9">
        <f>SUMIFS($C:$C,$B:$B,"="&amp;$H19,$A:$A,"="&amp;AA$1)</f>
        <v>15</v>
      </c>
      <c r="AB19" s="9">
        <f>SUMIFS($C:$C,$B:$B,"="&amp;$H19,$A:$A,"="&amp;AB$1)</f>
        <v>15</v>
      </c>
      <c r="AC19" s="9">
        <f>SUMIFS($C:$C,$B:$B,"="&amp;$H19,$A:$A,"="&amp;AC$1)</f>
        <v>16</v>
      </c>
      <c r="AD19" s="9">
        <f>SUMIFS($C:$C,$B:$B,"="&amp;$H19,$A:$A,"="&amp;AD$1)</f>
        <v>16</v>
      </c>
      <c r="AE19" s="9">
        <f>SUMIFS($C:$C,$B:$B,"="&amp;$H19,$A:$A,"="&amp;AE$1)</f>
        <v>16</v>
      </c>
      <c r="AF19" s="9">
        <f>SUMIFS($C:$C,$B:$B,"="&amp;$H19,$A:$A,"="&amp;AF$1)</f>
        <v>16</v>
      </c>
      <c r="AH19" s="11">
        <f t="shared" si="0"/>
        <v>8</v>
      </c>
      <c r="AI19" s="11">
        <f t="shared" si="1"/>
        <v>15</v>
      </c>
      <c r="AJ19" s="11">
        <f t="shared" si="2"/>
        <v>0</v>
      </c>
    </row>
    <row r="20" spans="1:36" x14ac:dyDescent="0.25">
      <c r="A20" t="s">
        <v>9</v>
      </c>
      <c r="B20" t="s">
        <v>63</v>
      </c>
      <c r="C20">
        <v>6</v>
      </c>
      <c r="D20">
        <v>40</v>
      </c>
      <c r="E20">
        <v>145</v>
      </c>
      <c r="H20" t="s">
        <v>90</v>
      </c>
      <c r="I20" s="9">
        <f>SUMIFS($C:$C,$B:$B,"="&amp;$H20,$A:$A,"="&amp;I$1)</f>
        <v>0</v>
      </c>
      <c r="J20" s="9">
        <f>SUMIFS($C:$C,$B:$B,"="&amp;$H20,$A:$A,"="&amp;J$1)</f>
        <v>0</v>
      </c>
      <c r="K20" s="9">
        <f>SUMIFS($C:$C,$B:$B,"="&amp;$H20,$A:$A,"="&amp;K$1)</f>
        <v>0</v>
      </c>
      <c r="L20" s="9">
        <f>SUMIFS($C:$C,$B:$B,"="&amp;$H20,$A:$A,"="&amp;L$1)</f>
        <v>0</v>
      </c>
      <c r="M20" s="9">
        <f>SUMIFS($C:$C,$B:$B,"="&amp;$H20,$A:$A,"="&amp;M$1)</f>
        <v>0</v>
      </c>
      <c r="N20" s="9">
        <f>SUMIFS($C:$C,$B:$B,"="&amp;$H20,$A:$A,"="&amp;N$1)</f>
        <v>4</v>
      </c>
      <c r="O20" s="9">
        <f>SUMIFS($C:$C,$B:$B,"="&amp;$H20,$A:$A,"="&amp;O$1)</f>
        <v>4</v>
      </c>
      <c r="P20" s="9">
        <f>SUMIFS($C:$C,$B:$B,"="&amp;$H20,$A:$A,"="&amp;P$1)</f>
        <v>4</v>
      </c>
      <c r="Q20" s="9">
        <f>SUMIFS($C:$C,$B:$B,"="&amp;$H20,$A:$A,"="&amp;Q$1)</f>
        <v>4</v>
      </c>
      <c r="R20" s="9">
        <f>SUMIFS($C:$C,$B:$B,"="&amp;$H20,$A:$A,"="&amp;R$1)</f>
        <v>4</v>
      </c>
      <c r="S20" s="9">
        <f>SUMIFS($C:$C,$B:$B,"="&amp;$H20,$A:$A,"="&amp;S$1)</f>
        <v>4</v>
      </c>
      <c r="T20" s="9">
        <f>SUMIFS($C:$C,$B:$B,"="&amp;$H20,$A:$A,"="&amp;T$1)</f>
        <v>4</v>
      </c>
      <c r="U20" s="9">
        <f>SUMIFS($C:$C,$B:$B,"="&amp;$H20,$A:$A,"="&amp;U$1)</f>
        <v>4</v>
      </c>
      <c r="V20" s="9">
        <f>SUMIFS($C:$C,$B:$B,"="&amp;$H20,$A:$A,"="&amp;V$1)</f>
        <v>4</v>
      </c>
      <c r="W20" s="9">
        <f>SUMIFS($C:$C,$B:$B,"="&amp;$H20,$A:$A,"="&amp;W$1)</f>
        <v>4</v>
      </c>
      <c r="X20" s="9">
        <f>SUMIFS($C:$C,$B:$B,"="&amp;$H20,$A:$A,"="&amp;X$1)</f>
        <v>4</v>
      </c>
      <c r="Y20" s="9">
        <f>SUMIFS($C:$C,$B:$B,"="&amp;$H20,$A:$A,"="&amp;Y$1)</f>
        <v>4</v>
      </c>
      <c r="Z20" s="9">
        <f>SUMIFS($C:$C,$B:$B,"="&amp;$H20,$A:$A,"="&amp;Z$1)</f>
        <v>4</v>
      </c>
      <c r="AA20" s="9">
        <f>SUMIFS($C:$C,$B:$B,"="&amp;$H20,$A:$A,"="&amp;AA$1)</f>
        <v>4</v>
      </c>
      <c r="AB20" s="9">
        <f>SUMIFS($C:$C,$B:$B,"="&amp;$H20,$A:$A,"="&amp;AB$1)</f>
        <v>4</v>
      </c>
      <c r="AC20" s="9">
        <f>SUMIFS($C:$C,$B:$B,"="&amp;$H20,$A:$A,"="&amp;AC$1)</f>
        <v>6</v>
      </c>
      <c r="AD20" s="9">
        <f>SUMIFS($C:$C,$B:$B,"="&amp;$H20,$A:$A,"="&amp;AD$1)</f>
        <v>6</v>
      </c>
      <c r="AE20" s="9">
        <f>SUMIFS($C:$C,$B:$B,"="&amp;$H20,$A:$A,"="&amp;AE$1)</f>
        <v>6</v>
      </c>
      <c r="AF20" s="9">
        <f>SUMIFS($C:$C,$B:$B,"="&amp;$H20,$A:$A,"="&amp;AF$1)</f>
        <v>6</v>
      </c>
      <c r="AH20" s="11">
        <f t="shared" si="0"/>
        <v>2</v>
      </c>
      <c r="AI20" s="11">
        <f t="shared" si="1"/>
        <v>21</v>
      </c>
      <c r="AJ20" s="11">
        <f t="shared" si="2"/>
        <v>0</v>
      </c>
    </row>
    <row r="21" spans="1:36" x14ac:dyDescent="0.25">
      <c r="A21" t="s">
        <v>9</v>
      </c>
      <c r="B21" t="s">
        <v>76</v>
      </c>
      <c r="C21">
        <v>1</v>
      </c>
      <c r="D21">
        <v>13</v>
      </c>
      <c r="E21">
        <v>10</v>
      </c>
      <c r="H21" t="s">
        <v>91</v>
      </c>
      <c r="I21" s="9">
        <f>SUMIFS($C:$C,$B:$B,"="&amp;$H21,$A:$A,"="&amp;I$1)</f>
        <v>0</v>
      </c>
      <c r="J21" s="9">
        <f>SUMIFS($C:$C,$B:$B,"="&amp;$H21,$A:$A,"="&amp;J$1)</f>
        <v>0</v>
      </c>
      <c r="K21" s="9">
        <f>SUMIFS($C:$C,$B:$B,"="&amp;$H21,$A:$A,"="&amp;K$1)</f>
        <v>0</v>
      </c>
      <c r="L21" s="9">
        <f>SUMIFS($C:$C,$B:$B,"="&amp;$H21,$A:$A,"="&amp;L$1)</f>
        <v>0</v>
      </c>
      <c r="M21" s="9">
        <f>SUMIFS($C:$C,$B:$B,"="&amp;$H21,$A:$A,"="&amp;M$1)</f>
        <v>0</v>
      </c>
      <c r="N21" s="9">
        <f>SUMIFS($C:$C,$B:$B,"="&amp;$H21,$A:$A,"="&amp;N$1)</f>
        <v>4</v>
      </c>
      <c r="O21" s="9">
        <f>SUMIFS($C:$C,$B:$B,"="&amp;$H21,$A:$A,"="&amp;O$1)</f>
        <v>4</v>
      </c>
      <c r="P21" s="9">
        <f>SUMIFS($C:$C,$B:$B,"="&amp;$H21,$A:$A,"="&amp;P$1)</f>
        <v>4</v>
      </c>
      <c r="Q21" s="9">
        <f>SUMIFS($C:$C,$B:$B,"="&amp;$H21,$A:$A,"="&amp;Q$1)</f>
        <v>4</v>
      </c>
      <c r="R21" s="9">
        <f>SUMIFS($C:$C,$B:$B,"="&amp;$H21,$A:$A,"="&amp;R$1)</f>
        <v>4</v>
      </c>
      <c r="S21" s="9">
        <f>SUMIFS($C:$C,$B:$B,"="&amp;$H21,$A:$A,"="&amp;S$1)</f>
        <v>4</v>
      </c>
      <c r="T21" s="9">
        <f>SUMIFS($C:$C,$B:$B,"="&amp;$H21,$A:$A,"="&amp;T$1)</f>
        <v>4</v>
      </c>
      <c r="U21" s="9">
        <f>SUMIFS($C:$C,$B:$B,"="&amp;$H21,$A:$A,"="&amp;U$1)</f>
        <v>4</v>
      </c>
      <c r="V21" s="9">
        <f>SUMIFS($C:$C,$B:$B,"="&amp;$H21,$A:$A,"="&amp;V$1)</f>
        <v>4</v>
      </c>
      <c r="W21" s="9">
        <f>SUMIFS($C:$C,$B:$B,"="&amp;$H21,$A:$A,"="&amp;W$1)</f>
        <v>4</v>
      </c>
      <c r="X21" s="9">
        <f>SUMIFS($C:$C,$B:$B,"="&amp;$H21,$A:$A,"="&amp;X$1)</f>
        <v>4</v>
      </c>
      <c r="Y21" s="9">
        <f>SUMIFS($C:$C,$B:$B,"="&amp;$H21,$A:$A,"="&amp;Y$1)</f>
        <v>5</v>
      </c>
      <c r="Z21" s="9">
        <f>SUMIFS($C:$C,$B:$B,"="&amp;$H21,$A:$A,"="&amp;Z$1)</f>
        <v>5</v>
      </c>
      <c r="AA21" s="9">
        <f>SUMIFS($C:$C,$B:$B,"="&amp;$H21,$A:$A,"="&amp;AA$1)</f>
        <v>5</v>
      </c>
      <c r="AB21" s="9">
        <f>SUMIFS($C:$C,$B:$B,"="&amp;$H21,$A:$A,"="&amp;AB$1)</f>
        <v>5</v>
      </c>
      <c r="AC21" s="9">
        <f>SUMIFS($C:$C,$B:$B,"="&amp;$H21,$A:$A,"="&amp;AC$1)</f>
        <v>5</v>
      </c>
      <c r="AD21" s="9">
        <f>SUMIFS($C:$C,$B:$B,"="&amp;$H21,$A:$A,"="&amp;AD$1)</f>
        <v>5</v>
      </c>
      <c r="AE21" s="9">
        <f>SUMIFS($C:$C,$B:$B,"="&amp;$H21,$A:$A,"="&amp;AE$1)</f>
        <v>5</v>
      </c>
      <c r="AF21" s="9">
        <f>SUMIFS($C:$C,$B:$B,"="&amp;$H21,$A:$A,"="&amp;AF$1)</f>
        <v>5</v>
      </c>
      <c r="AH21" s="11">
        <f t="shared" si="0"/>
        <v>2</v>
      </c>
      <c r="AI21" s="11">
        <f t="shared" si="1"/>
        <v>21</v>
      </c>
      <c r="AJ21" s="11">
        <f t="shared" si="2"/>
        <v>0</v>
      </c>
    </row>
    <row r="22" spans="1:36" x14ac:dyDescent="0.25">
      <c r="A22" t="s">
        <v>9</v>
      </c>
      <c r="B22" t="s">
        <v>74</v>
      </c>
      <c r="C22">
        <v>48</v>
      </c>
      <c r="D22">
        <v>8</v>
      </c>
      <c r="E22">
        <v>41</v>
      </c>
      <c r="H22" t="s">
        <v>79</v>
      </c>
      <c r="I22" s="9">
        <f>SUMIFS($C:$C,$B:$B,"="&amp;$H22,$A:$A,"="&amp;I$1)</f>
        <v>0</v>
      </c>
      <c r="J22" s="9">
        <f>SUMIFS($C:$C,$B:$B,"="&amp;$H22,$A:$A,"="&amp;J$1)</f>
        <v>0</v>
      </c>
      <c r="K22" s="9">
        <f>SUMIFS($C:$C,$B:$B,"="&amp;$H22,$A:$A,"="&amp;K$1)</f>
        <v>0</v>
      </c>
      <c r="L22" s="9">
        <f>SUMIFS($C:$C,$B:$B,"="&amp;$H22,$A:$A,"="&amp;L$1)</f>
        <v>0</v>
      </c>
      <c r="M22" s="9">
        <f>SUMIFS($C:$C,$B:$B,"="&amp;$H22,$A:$A,"="&amp;M$1)</f>
        <v>0</v>
      </c>
      <c r="N22" s="9">
        <f>SUMIFS($C:$C,$B:$B,"="&amp;$H22,$A:$A,"="&amp;N$1)</f>
        <v>0</v>
      </c>
      <c r="O22" s="9">
        <f>SUMIFS($C:$C,$B:$B,"="&amp;$H22,$A:$A,"="&amp;O$1)</f>
        <v>0</v>
      </c>
      <c r="P22" s="9">
        <f>SUMIFS($C:$C,$B:$B,"="&amp;$H22,$A:$A,"="&amp;P$1)</f>
        <v>0</v>
      </c>
      <c r="Q22" s="9">
        <f>SUMIFS($C:$C,$B:$B,"="&amp;$H22,$A:$A,"="&amp;Q$1)</f>
        <v>0</v>
      </c>
      <c r="R22" s="9">
        <f>SUMIFS($C:$C,$B:$B,"="&amp;$H22,$A:$A,"="&amp;R$1)</f>
        <v>0</v>
      </c>
      <c r="S22" s="9">
        <f>SUMIFS($C:$C,$B:$B,"="&amp;$H22,$A:$A,"="&amp;S$1)</f>
        <v>0</v>
      </c>
      <c r="T22" s="9">
        <f>SUMIFS($C:$C,$B:$B,"="&amp;$H22,$A:$A,"="&amp;T$1)</f>
        <v>0</v>
      </c>
      <c r="U22" s="9">
        <f>SUMIFS($C:$C,$B:$B,"="&amp;$H22,$A:$A,"="&amp;U$1)</f>
        <v>0</v>
      </c>
      <c r="V22" s="9">
        <f>SUMIFS($C:$C,$B:$B,"="&amp;$H22,$A:$A,"="&amp;V$1)</f>
        <v>0</v>
      </c>
      <c r="W22" s="9">
        <f>SUMIFS($C:$C,$B:$B,"="&amp;$H22,$A:$A,"="&amp;W$1)</f>
        <v>0</v>
      </c>
      <c r="X22" s="9">
        <f>SUMIFS($C:$C,$B:$B,"="&amp;$H22,$A:$A,"="&amp;X$1)</f>
        <v>0</v>
      </c>
      <c r="Y22" s="9">
        <f>SUMIFS($C:$C,$B:$B,"="&amp;$H22,$A:$A,"="&amp;Y$1)</f>
        <v>0</v>
      </c>
      <c r="Z22" s="9">
        <f>SUMIFS($C:$C,$B:$B,"="&amp;$H22,$A:$A,"="&amp;Z$1)</f>
        <v>0</v>
      </c>
      <c r="AA22" s="9">
        <f>SUMIFS($C:$C,$B:$B,"="&amp;$H22,$A:$A,"="&amp;AA$1)</f>
        <v>0</v>
      </c>
      <c r="AB22" s="9">
        <f>SUMIFS($C:$C,$B:$B,"="&amp;$H22,$A:$A,"="&amp;AB$1)</f>
        <v>0</v>
      </c>
      <c r="AC22" s="9">
        <f>SUMIFS($C:$C,$B:$B,"="&amp;$H22,$A:$A,"="&amp;AC$1)</f>
        <v>0</v>
      </c>
      <c r="AD22" s="9">
        <f>SUMIFS($C:$C,$B:$B,"="&amp;$H22,$A:$A,"="&amp;AD$1)</f>
        <v>0</v>
      </c>
      <c r="AE22" s="9">
        <f>SUMIFS($C:$C,$B:$B,"="&amp;$H22,$A:$A,"="&amp;AE$1)</f>
        <v>0</v>
      </c>
      <c r="AF22" s="9">
        <f>SUMIFS($C:$C,$B:$B,"="&amp;$H22,$A:$A,"="&amp;AF$1)</f>
        <v>1</v>
      </c>
      <c r="AH22" s="11">
        <f t="shared" si="0"/>
        <v>1</v>
      </c>
      <c r="AI22" s="11">
        <f t="shared" si="1"/>
        <v>22</v>
      </c>
      <c r="AJ22" s="11">
        <f t="shared" si="2"/>
        <v>0</v>
      </c>
    </row>
    <row r="23" spans="1:36" x14ac:dyDescent="0.25">
      <c r="A23" t="s">
        <v>9</v>
      </c>
      <c r="B23" t="s">
        <v>77</v>
      </c>
      <c r="C23">
        <v>10</v>
      </c>
      <c r="D23">
        <v>4</v>
      </c>
      <c r="E23">
        <v>6</v>
      </c>
      <c r="H23" t="s">
        <v>80</v>
      </c>
      <c r="I23" s="9">
        <f>SUMIFS($C:$C,$B:$B,"="&amp;$H23,$A:$A,"="&amp;I$1)</f>
        <v>0</v>
      </c>
      <c r="J23" s="9">
        <f>SUMIFS($C:$C,$B:$B,"="&amp;$H23,$A:$A,"="&amp;J$1)</f>
        <v>0</v>
      </c>
      <c r="K23" s="9">
        <f>SUMIFS($C:$C,$B:$B,"="&amp;$H23,$A:$A,"="&amp;K$1)</f>
        <v>0</v>
      </c>
      <c r="L23" s="9">
        <f>SUMIFS($C:$C,$B:$B,"="&amp;$H23,$A:$A,"="&amp;L$1)</f>
        <v>3</v>
      </c>
      <c r="M23" s="9">
        <f>SUMIFS($C:$C,$B:$B,"="&amp;$H23,$A:$A,"="&amp;M$1)</f>
        <v>3</v>
      </c>
      <c r="N23" s="9">
        <f>SUMIFS($C:$C,$B:$B,"="&amp;$H23,$A:$A,"="&amp;N$1)</f>
        <v>16</v>
      </c>
      <c r="O23" s="9">
        <f>SUMIFS($C:$C,$B:$B,"="&amp;$H23,$A:$A,"="&amp;O$1)</f>
        <v>16</v>
      </c>
      <c r="P23" s="9">
        <f>SUMIFS($C:$C,$B:$B,"="&amp;$H23,$A:$A,"="&amp;P$1)</f>
        <v>16</v>
      </c>
      <c r="Q23" s="9">
        <f>SUMIFS($C:$C,$B:$B,"="&amp;$H23,$A:$A,"="&amp;Q$1)</f>
        <v>16</v>
      </c>
      <c r="R23" s="9">
        <f>SUMIFS($C:$C,$B:$B,"="&amp;$H23,$A:$A,"="&amp;R$1)</f>
        <v>16</v>
      </c>
      <c r="S23" s="9">
        <f>SUMIFS($C:$C,$B:$B,"="&amp;$H23,$A:$A,"="&amp;S$1)</f>
        <v>16</v>
      </c>
      <c r="T23" s="9">
        <f>SUMIFS($C:$C,$B:$B,"="&amp;$H23,$A:$A,"="&amp;T$1)</f>
        <v>16</v>
      </c>
      <c r="U23" s="9">
        <f>SUMIFS($C:$C,$B:$B,"="&amp;$H23,$A:$A,"="&amp;U$1)</f>
        <v>18</v>
      </c>
      <c r="V23" s="9">
        <f>SUMIFS($C:$C,$B:$B,"="&amp;$H23,$A:$A,"="&amp;V$1)</f>
        <v>18</v>
      </c>
      <c r="W23" s="9">
        <f>SUMIFS($C:$C,$B:$B,"="&amp;$H23,$A:$A,"="&amp;W$1)</f>
        <v>18</v>
      </c>
      <c r="X23" s="9">
        <f>SUMIFS($C:$C,$B:$B,"="&amp;$H23,$A:$A,"="&amp;X$1)</f>
        <v>18</v>
      </c>
      <c r="Y23" s="9">
        <f>SUMIFS($C:$C,$B:$B,"="&amp;$H23,$A:$A,"="&amp;Y$1)</f>
        <v>26</v>
      </c>
      <c r="Z23" s="9">
        <f>SUMIFS($C:$C,$B:$B,"="&amp;$H23,$A:$A,"="&amp;Z$1)</f>
        <v>26</v>
      </c>
      <c r="AA23" s="9">
        <f>SUMIFS($C:$C,$B:$B,"="&amp;$H23,$A:$A,"="&amp;AA$1)</f>
        <v>26</v>
      </c>
      <c r="AB23" s="9">
        <f>SUMIFS($C:$C,$B:$B,"="&amp;$H23,$A:$A,"="&amp;AB$1)</f>
        <v>25</v>
      </c>
      <c r="AC23" s="9">
        <f>SUMIFS($C:$C,$B:$B,"="&amp;$H23,$A:$A,"="&amp;AC$1)</f>
        <v>33</v>
      </c>
      <c r="AD23" s="9">
        <f>SUMIFS($C:$C,$B:$B,"="&amp;$H23,$A:$A,"="&amp;AD$1)</f>
        <v>35</v>
      </c>
      <c r="AE23" s="9">
        <f>SUMIFS($C:$C,$B:$B,"="&amp;$H23,$A:$A,"="&amp;AE$1)</f>
        <v>35</v>
      </c>
      <c r="AF23" s="9">
        <f>SUMIFS($C:$C,$B:$B,"="&amp;$H23,$A:$A,"="&amp;AF$1)</f>
        <v>39</v>
      </c>
      <c r="AH23" s="11">
        <f t="shared" si="0"/>
        <v>7</v>
      </c>
      <c r="AI23" s="11">
        <f t="shared" si="1"/>
        <v>15</v>
      </c>
      <c r="AJ23" s="11">
        <f t="shared" si="2"/>
        <v>1</v>
      </c>
    </row>
    <row r="24" spans="1:36" x14ac:dyDescent="0.25">
      <c r="A24" t="s">
        <v>9</v>
      </c>
      <c r="B24" t="s">
        <v>78</v>
      </c>
      <c r="C24">
        <v>1</v>
      </c>
      <c r="D24">
        <v>1</v>
      </c>
      <c r="E24">
        <v>3</v>
      </c>
      <c r="H24" t="s">
        <v>81</v>
      </c>
      <c r="I24" s="9">
        <f>SUMIFS($C:$C,$B:$B,"="&amp;$H24,$A:$A,"="&amp;I$1)</f>
        <v>0</v>
      </c>
      <c r="J24" s="9">
        <f>SUMIFS($C:$C,$B:$B,"="&amp;$H24,$A:$A,"="&amp;J$1)</f>
        <v>0</v>
      </c>
      <c r="K24" s="9">
        <f>SUMIFS($C:$C,$B:$B,"="&amp;$H24,$A:$A,"="&amp;K$1)</f>
        <v>0</v>
      </c>
      <c r="L24" s="9">
        <f>SUMIFS($C:$C,$B:$B,"="&amp;$H24,$A:$A,"="&amp;L$1)</f>
        <v>1</v>
      </c>
      <c r="M24" s="9">
        <f>SUMIFS($C:$C,$B:$B,"="&amp;$H24,$A:$A,"="&amp;M$1)</f>
        <v>1</v>
      </c>
      <c r="N24" s="9">
        <f>SUMIFS($C:$C,$B:$B,"="&amp;$H24,$A:$A,"="&amp;N$1)</f>
        <v>1</v>
      </c>
      <c r="O24" s="9">
        <f>SUMIFS($C:$C,$B:$B,"="&amp;$H24,$A:$A,"="&amp;O$1)</f>
        <v>1</v>
      </c>
      <c r="P24" s="9">
        <f>SUMIFS($C:$C,$B:$B,"="&amp;$H24,$A:$A,"="&amp;P$1)</f>
        <v>1</v>
      </c>
      <c r="Q24" s="9">
        <f>SUMIFS($C:$C,$B:$B,"="&amp;$H24,$A:$A,"="&amp;Q$1)</f>
        <v>1</v>
      </c>
      <c r="R24" s="9">
        <f>SUMIFS($C:$C,$B:$B,"="&amp;$H24,$A:$A,"="&amp;R$1)</f>
        <v>1</v>
      </c>
      <c r="S24" s="9">
        <f>SUMIFS($C:$C,$B:$B,"="&amp;$H24,$A:$A,"="&amp;S$1)</f>
        <v>1</v>
      </c>
      <c r="T24" s="9">
        <f>SUMIFS($C:$C,$B:$B,"="&amp;$H24,$A:$A,"="&amp;T$1)</f>
        <v>1</v>
      </c>
      <c r="U24" s="9">
        <f>SUMIFS($C:$C,$B:$B,"="&amp;$H24,$A:$A,"="&amp;U$1)</f>
        <v>1</v>
      </c>
      <c r="V24" s="9">
        <f>SUMIFS($C:$C,$B:$B,"="&amp;$H24,$A:$A,"="&amp;V$1)</f>
        <v>1</v>
      </c>
      <c r="W24" s="9">
        <f>SUMIFS($C:$C,$B:$B,"="&amp;$H24,$A:$A,"="&amp;W$1)</f>
        <v>1</v>
      </c>
      <c r="X24" s="9">
        <f>SUMIFS($C:$C,$B:$B,"="&amp;$H24,$A:$A,"="&amp;X$1)</f>
        <v>1</v>
      </c>
      <c r="Y24" s="9">
        <f>SUMIFS($C:$C,$B:$B,"="&amp;$H24,$A:$A,"="&amp;Y$1)</f>
        <v>1</v>
      </c>
      <c r="Z24" s="9">
        <f>SUMIFS($C:$C,$B:$B,"="&amp;$H24,$A:$A,"="&amp;Z$1)</f>
        <v>1</v>
      </c>
      <c r="AA24" s="9">
        <f>SUMIFS($C:$C,$B:$B,"="&amp;$H24,$A:$A,"="&amp;AA$1)</f>
        <v>1</v>
      </c>
      <c r="AB24" s="9">
        <f>SUMIFS($C:$C,$B:$B,"="&amp;$H24,$A:$A,"="&amp;AB$1)</f>
        <v>1</v>
      </c>
      <c r="AC24" s="9">
        <f>SUMIFS($C:$C,$B:$B,"="&amp;$H24,$A:$A,"="&amp;AC$1)</f>
        <v>1</v>
      </c>
      <c r="AD24" s="9">
        <f>SUMIFS($C:$C,$B:$B,"="&amp;$H24,$A:$A,"="&amp;AD$1)</f>
        <v>1</v>
      </c>
      <c r="AE24" s="9">
        <f>SUMIFS($C:$C,$B:$B,"="&amp;$H24,$A:$A,"="&amp;AE$1)</f>
        <v>1</v>
      </c>
      <c r="AF24" s="9">
        <f>SUMIFS($C:$C,$B:$B,"="&amp;$H24,$A:$A,"="&amp;AF$1)</f>
        <v>1</v>
      </c>
      <c r="AH24" s="11">
        <f t="shared" si="0"/>
        <v>1</v>
      </c>
      <c r="AI24" s="11">
        <f t="shared" si="1"/>
        <v>22</v>
      </c>
      <c r="AJ24" s="11">
        <f t="shared" si="2"/>
        <v>0</v>
      </c>
    </row>
    <row r="25" spans="1:36" x14ac:dyDescent="0.25">
      <c r="A25" t="s">
        <v>9</v>
      </c>
      <c r="B25" t="s">
        <v>75</v>
      </c>
      <c r="C25">
        <v>1</v>
      </c>
      <c r="D25">
        <v>0</v>
      </c>
      <c r="E25">
        <v>2</v>
      </c>
      <c r="H25" t="s">
        <v>82</v>
      </c>
      <c r="I25" s="9">
        <f>SUMIFS($C:$C,$B:$B,"="&amp;$H25,$A:$A,"="&amp;I$1)</f>
        <v>0</v>
      </c>
      <c r="J25" s="9">
        <f>SUMIFS($C:$C,$B:$B,"="&amp;$H25,$A:$A,"="&amp;J$1)</f>
        <v>0</v>
      </c>
      <c r="K25" s="9">
        <f>SUMIFS($C:$C,$B:$B,"="&amp;$H25,$A:$A,"="&amp;K$1)</f>
        <v>0</v>
      </c>
      <c r="L25" s="9">
        <f>SUMIFS($C:$C,$B:$B,"="&amp;$H25,$A:$A,"="&amp;L$1)</f>
        <v>4</v>
      </c>
      <c r="M25" s="9">
        <f>SUMIFS($C:$C,$B:$B,"="&amp;$H25,$A:$A,"="&amp;M$1)</f>
        <v>4</v>
      </c>
      <c r="N25" s="9">
        <f>SUMIFS($C:$C,$B:$B,"="&amp;$H25,$A:$A,"="&amp;N$1)</f>
        <v>4</v>
      </c>
      <c r="O25" s="9">
        <f>SUMIFS($C:$C,$B:$B,"="&amp;$H25,$A:$A,"="&amp;O$1)</f>
        <v>4</v>
      </c>
      <c r="P25" s="9">
        <f>SUMIFS($C:$C,$B:$B,"="&amp;$H25,$A:$A,"="&amp;P$1)</f>
        <v>4</v>
      </c>
      <c r="Q25" s="9">
        <f>SUMIFS($C:$C,$B:$B,"="&amp;$H25,$A:$A,"="&amp;Q$1)</f>
        <v>4</v>
      </c>
      <c r="R25" s="9">
        <f>SUMIFS($C:$C,$B:$B,"="&amp;$H25,$A:$A,"="&amp;R$1)</f>
        <v>4</v>
      </c>
      <c r="S25" s="9">
        <f>SUMIFS($C:$C,$B:$B,"="&amp;$H25,$A:$A,"="&amp;S$1)</f>
        <v>6</v>
      </c>
      <c r="T25" s="9">
        <f>SUMIFS($C:$C,$B:$B,"="&amp;$H25,$A:$A,"="&amp;T$1)</f>
        <v>6</v>
      </c>
      <c r="U25" s="9">
        <f>SUMIFS($C:$C,$B:$B,"="&amp;$H25,$A:$A,"="&amp;U$1)</f>
        <v>6</v>
      </c>
      <c r="V25" s="9">
        <f>SUMIFS($C:$C,$B:$B,"="&amp;$H25,$A:$A,"="&amp;V$1)</f>
        <v>6</v>
      </c>
      <c r="W25" s="9">
        <f>SUMIFS($C:$C,$B:$B,"="&amp;$H25,$A:$A,"="&amp;W$1)</f>
        <v>6</v>
      </c>
      <c r="X25" s="9">
        <f>SUMIFS($C:$C,$B:$B,"="&amp;$H25,$A:$A,"="&amp;X$1)</f>
        <v>6</v>
      </c>
      <c r="Y25" s="9">
        <f>SUMIFS($C:$C,$B:$B,"="&amp;$H25,$A:$A,"="&amp;Y$1)</f>
        <v>9</v>
      </c>
      <c r="Z25" s="9">
        <f>SUMIFS($C:$C,$B:$B,"="&amp;$H25,$A:$A,"="&amp;Z$1)</f>
        <v>9</v>
      </c>
      <c r="AA25" s="9">
        <f>SUMIFS($C:$C,$B:$B,"="&amp;$H25,$A:$A,"="&amp;AA$1)</f>
        <v>11</v>
      </c>
      <c r="AB25" s="9">
        <f>SUMIFS($C:$C,$B:$B,"="&amp;$H25,$A:$A,"="&amp;AB$1)</f>
        <v>11</v>
      </c>
      <c r="AC25" s="9">
        <f>SUMIFS($C:$C,$B:$B,"="&amp;$H25,$A:$A,"="&amp;AC$1)</f>
        <v>11</v>
      </c>
      <c r="AD25" s="9">
        <f>SUMIFS($C:$C,$B:$B,"="&amp;$H25,$A:$A,"="&amp;AD$1)</f>
        <v>11</v>
      </c>
      <c r="AE25" s="9">
        <f>SUMIFS($C:$C,$B:$B,"="&amp;$H25,$A:$A,"="&amp;AE$1)</f>
        <v>11</v>
      </c>
      <c r="AF25" s="9">
        <f>SUMIFS($C:$C,$B:$B,"="&amp;$H25,$A:$A,"="&amp;AF$1)</f>
        <v>16</v>
      </c>
      <c r="AH25" s="11">
        <f t="shared" si="0"/>
        <v>5</v>
      </c>
      <c r="AI25" s="11">
        <f t="shared" si="1"/>
        <v>18</v>
      </c>
      <c r="AJ25" s="11">
        <f t="shared" si="2"/>
        <v>0</v>
      </c>
    </row>
    <row r="26" spans="1:36" x14ac:dyDescent="0.25">
      <c r="A26" t="s">
        <v>9</v>
      </c>
      <c r="B26" t="s">
        <v>65</v>
      </c>
      <c r="C26">
        <v>2</v>
      </c>
      <c r="D26">
        <v>0</v>
      </c>
      <c r="E26">
        <v>6</v>
      </c>
      <c r="H26" t="s">
        <v>76</v>
      </c>
      <c r="I26" s="9">
        <f>SUMIFS($C:$C,$B:$B,"="&amp;$H26,$A:$A,"="&amp;I$1)</f>
        <v>0</v>
      </c>
      <c r="J26" s="9">
        <f>SUMIFS($C:$C,$B:$B,"="&amp;$H26,$A:$A,"="&amp;J$1)</f>
        <v>0</v>
      </c>
      <c r="K26" s="9">
        <f>SUMIFS($C:$C,$B:$B,"="&amp;$H26,$A:$A,"="&amp;K$1)</f>
        <v>1</v>
      </c>
      <c r="L26" s="9">
        <f>SUMIFS($C:$C,$B:$B,"="&amp;$H26,$A:$A,"="&amp;L$1)</f>
        <v>1</v>
      </c>
      <c r="M26" s="9">
        <f>SUMIFS($C:$C,$B:$B,"="&amp;$H26,$A:$A,"="&amp;M$1)</f>
        <v>1</v>
      </c>
      <c r="N26" s="9">
        <f>SUMIFS($C:$C,$B:$B,"="&amp;$H26,$A:$A,"="&amp;N$1)</f>
        <v>1</v>
      </c>
      <c r="O26" s="9">
        <f>SUMIFS($C:$C,$B:$B,"="&amp;$H26,$A:$A,"="&amp;O$1)</f>
        <v>1</v>
      </c>
      <c r="P26" s="9">
        <f>SUMIFS($C:$C,$B:$B,"="&amp;$H26,$A:$A,"="&amp;P$1)</f>
        <v>1</v>
      </c>
      <c r="Q26" s="9">
        <f>SUMIFS($C:$C,$B:$B,"="&amp;$H26,$A:$A,"="&amp;Q$1)</f>
        <v>1</v>
      </c>
      <c r="R26" s="9">
        <f>SUMIFS($C:$C,$B:$B,"="&amp;$H26,$A:$A,"="&amp;R$1)</f>
        <v>1</v>
      </c>
      <c r="S26" s="9">
        <f>SUMIFS($C:$C,$B:$B,"="&amp;$H26,$A:$A,"="&amp;S$1)</f>
        <v>1</v>
      </c>
      <c r="T26" s="9">
        <f>SUMIFS($C:$C,$B:$B,"="&amp;$H26,$A:$A,"="&amp;T$1)</f>
        <v>1</v>
      </c>
      <c r="U26" s="9">
        <f>SUMIFS($C:$C,$B:$B,"="&amp;$H26,$A:$A,"="&amp;U$1)</f>
        <v>1</v>
      </c>
      <c r="V26" s="9">
        <f>SUMIFS($C:$C,$B:$B,"="&amp;$H26,$A:$A,"="&amp;V$1)</f>
        <v>1</v>
      </c>
      <c r="W26" s="9">
        <f>SUMIFS($C:$C,$B:$B,"="&amp;$H26,$A:$A,"="&amp;W$1)</f>
        <v>1</v>
      </c>
      <c r="X26" s="9">
        <f>SUMIFS($C:$C,$B:$B,"="&amp;$H26,$A:$A,"="&amp;X$1)</f>
        <v>1</v>
      </c>
      <c r="Y26" s="9">
        <f>SUMIFS($C:$C,$B:$B,"="&amp;$H26,$A:$A,"="&amp;Y$1)</f>
        <v>1</v>
      </c>
      <c r="Z26" s="9">
        <f>SUMIFS($C:$C,$B:$B,"="&amp;$H26,$A:$A,"="&amp;Z$1)</f>
        <v>1</v>
      </c>
      <c r="AA26" s="9">
        <f>SUMIFS($C:$C,$B:$B,"="&amp;$H26,$A:$A,"="&amp;AA$1)</f>
        <v>1</v>
      </c>
      <c r="AB26" s="9">
        <f>SUMIFS($C:$C,$B:$B,"="&amp;$H26,$A:$A,"="&amp;AB$1)</f>
        <v>1</v>
      </c>
      <c r="AC26" s="9">
        <f>SUMIFS($C:$C,$B:$B,"="&amp;$H26,$A:$A,"="&amp;AC$1)</f>
        <v>1</v>
      </c>
      <c r="AD26" s="9">
        <f>SUMIFS($C:$C,$B:$B,"="&amp;$H26,$A:$A,"="&amp;AD$1)</f>
        <v>1</v>
      </c>
      <c r="AE26" s="9">
        <f>SUMIFS($C:$C,$B:$B,"="&amp;$H26,$A:$A,"="&amp;AE$1)</f>
        <v>1</v>
      </c>
      <c r="AF26" s="9">
        <f>SUMIFS($C:$C,$B:$B,"="&amp;$H26,$A:$A,"="&amp;AF$1)</f>
        <v>2</v>
      </c>
      <c r="AH26" s="11">
        <f t="shared" si="0"/>
        <v>2</v>
      </c>
      <c r="AI26" s="11">
        <f t="shared" si="1"/>
        <v>21</v>
      </c>
      <c r="AJ26" s="11">
        <f t="shared" si="2"/>
        <v>0</v>
      </c>
    </row>
    <row r="27" spans="1:36" x14ac:dyDescent="0.25">
      <c r="A27" t="s">
        <v>10</v>
      </c>
      <c r="B27" t="s">
        <v>64</v>
      </c>
      <c r="C27">
        <v>143</v>
      </c>
      <c r="D27">
        <v>8</v>
      </c>
      <c r="E27">
        <v>238</v>
      </c>
      <c r="H27" t="s">
        <v>77</v>
      </c>
      <c r="I27" s="9">
        <f>SUMIFS($C:$C,$B:$B,"="&amp;$H27,$A:$A,"="&amp;I$1)</f>
        <v>0</v>
      </c>
      <c r="J27" s="9">
        <f>SUMIFS($C:$C,$B:$B,"="&amp;$H27,$A:$A,"="&amp;J$1)</f>
        <v>0</v>
      </c>
      <c r="K27" s="9">
        <f>SUMIFS($C:$C,$B:$B,"="&amp;$H27,$A:$A,"="&amp;K$1)</f>
        <v>10</v>
      </c>
      <c r="L27" s="9">
        <f>SUMIFS($C:$C,$B:$B,"="&amp;$H27,$A:$A,"="&amp;L$1)</f>
        <v>16</v>
      </c>
      <c r="M27" s="9">
        <f>SUMIFS($C:$C,$B:$B,"="&amp;$H27,$A:$A,"="&amp;M$1)</f>
        <v>17</v>
      </c>
      <c r="N27" s="9">
        <f>SUMIFS($C:$C,$B:$B,"="&amp;$H27,$A:$A,"="&amp;N$1)</f>
        <v>59</v>
      </c>
      <c r="O27" s="9">
        <f>SUMIFS($C:$C,$B:$B,"="&amp;$H27,$A:$A,"="&amp;O$1)</f>
        <v>60</v>
      </c>
      <c r="P27" s="9">
        <f>SUMIFS($C:$C,$B:$B,"="&amp;$H27,$A:$A,"="&amp;P$1)</f>
        <v>62</v>
      </c>
      <c r="Q27" s="9">
        <f>SUMIFS($C:$C,$B:$B,"="&amp;$H27,$A:$A,"="&amp;Q$1)</f>
        <v>64</v>
      </c>
      <c r="R27" s="9">
        <f>SUMIFS($C:$C,$B:$B,"="&amp;$H27,$A:$A,"="&amp;R$1)</f>
        <v>64</v>
      </c>
      <c r="S27" s="9">
        <f>SUMIFS($C:$C,$B:$B,"="&amp;$H27,$A:$A,"="&amp;S$1)</f>
        <v>89</v>
      </c>
      <c r="T27" s="9">
        <f>SUMIFS($C:$C,$B:$B,"="&amp;$H27,$A:$A,"="&amp;T$1)</f>
        <v>89</v>
      </c>
      <c r="U27" s="9">
        <f>SUMIFS($C:$C,$B:$B,"="&amp;$H27,$A:$A,"="&amp;U$1)</f>
        <v>93</v>
      </c>
      <c r="V27" s="9">
        <f>SUMIFS($C:$C,$B:$B,"="&amp;$H27,$A:$A,"="&amp;V$1)</f>
        <v>98</v>
      </c>
      <c r="W27" s="9">
        <f>SUMIFS($C:$C,$B:$B,"="&amp;$H27,$A:$A,"="&amp;W$1)</f>
        <v>98</v>
      </c>
      <c r="X27" s="9">
        <f>SUMIFS($C:$C,$B:$B,"="&amp;$H27,$A:$A,"="&amp;X$1)</f>
        <v>98</v>
      </c>
      <c r="Y27" s="9">
        <f>SUMIFS($C:$C,$B:$B,"="&amp;$H27,$A:$A,"="&amp;Y$1)</f>
        <v>159</v>
      </c>
      <c r="Z27" s="9">
        <f>SUMIFS($C:$C,$B:$B,"="&amp;$H27,$A:$A,"="&amp;Z$1)</f>
        <v>170</v>
      </c>
      <c r="AA27" s="9">
        <f>SUMIFS($C:$C,$B:$B,"="&amp;$H27,$A:$A,"="&amp;AA$1)</f>
        <v>193</v>
      </c>
      <c r="AB27" s="9">
        <f>SUMIFS($C:$C,$B:$B,"="&amp;$H27,$A:$A,"="&amp;AB$1)</f>
        <v>192</v>
      </c>
      <c r="AC27" s="9">
        <f>SUMIFS($C:$C,$B:$B,"="&amp;$H27,$A:$A,"="&amp;AC$1)</f>
        <v>242</v>
      </c>
      <c r="AD27" s="9">
        <f>SUMIFS($C:$C,$B:$B,"="&amp;$H27,$A:$A,"="&amp;AD$1)</f>
        <v>245</v>
      </c>
      <c r="AE27" s="9">
        <f>SUMIFS($C:$C,$B:$B,"="&amp;$H27,$A:$A,"="&amp;AE$1)</f>
        <v>245</v>
      </c>
      <c r="AF27" s="9">
        <f>SUMIFS($C:$C,$B:$B,"="&amp;$H27,$A:$A,"="&amp;AF$1)</f>
        <v>247</v>
      </c>
      <c r="AH27" s="11">
        <f t="shared" si="0"/>
        <v>16</v>
      </c>
      <c r="AI27" s="11">
        <f t="shared" si="1"/>
        <v>6</v>
      </c>
      <c r="AJ27" s="11">
        <f t="shared" si="2"/>
        <v>1</v>
      </c>
    </row>
    <row r="28" spans="1:36" x14ac:dyDescent="0.25">
      <c r="A28" t="s">
        <v>10</v>
      </c>
      <c r="B28" t="s">
        <v>79</v>
      </c>
      <c r="C28">
        <v>0</v>
      </c>
      <c r="D28">
        <v>5</v>
      </c>
      <c r="E28">
        <v>0</v>
      </c>
      <c r="H28" t="s">
        <v>78</v>
      </c>
      <c r="I28" s="9">
        <f>SUMIFS($C:$C,$B:$B,"="&amp;$H28,$A:$A,"="&amp;I$1)</f>
        <v>0</v>
      </c>
      <c r="J28" s="9">
        <f>SUMIFS($C:$C,$B:$B,"="&amp;$H28,$A:$A,"="&amp;J$1)</f>
        <v>0</v>
      </c>
      <c r="K28" s="9">
        <f>SUMIFS($C:$C,$B:$B,"="&amp;$H28,$A:$A,"="&amp;K$1)</f>
        <v>1</v>
      </c>
      <c r="L28" s="9">
        <f>SUMIFS($C:$C,$B:$B,"="&amp;$H28,$A:$A,"="&amp;L$1)</f>
        <v>1</v>
      </c>
      <c r="M28" s="9">
        <f>SUMIFS($C:$C,$B:$B,"="&amp;$H28,$A:$A,"="&amp;M$1)</f>
        <v>1</v>
      </c>
      <c r="N28" s="9">
        <f>SUMIFS($C:$C,$B:$B,"="&amp;$H28,$A:$A,"="&amp;N$1)</f>
        <v>3</v>
      </c>
      <c r="O28" s="9">
        <f>SUMIFS($C:$C,$B:$B,"="&amp;$H28,$A:$A,"="&amp;O$1)</f>
        <v>3</v>
      </c>
      <c r="P28" s="9">
        <f>SUMIFS($C:$C,$B:$B,"="&amp;$H28,$A:$A,"="&amp;P$1)</f>
        <v>3</v>
      </c>
      <c r="Q28" s="9">
        <f>SUMIFS($C:$C,$B:$B,"="&amp;$H28,$A:$A,"="&amp;Q$1)</f>
        <v>3</v>
      </c>
      <c r="R28" s="9">
        <f>SUMIFS($C:$C,$B:$B,"="&amp;$H28,$A:$A,"="&amp;R$1)</f>
        <v>3</v>
      </c>
      <c r="S28" s="9">
        <f>SUMIFS($C:$C,$B:$B,"="&amp;$H28,$A:$A,"="&amp;S$1)</f>
        <v>7</v>
      </c>
      <c r="T28" s="9">
        <f>SUMIFS($C:$C,$B:$B,"="&amp;$H28,$A:$A,"="&amp;T$1)</f>
        <v>7</v>
      </c>
      <c r="U28" s="9">
        <f>SUMIFS($C:$C,$B:$B,"="&amp;$H28,$A:$A,"="&amp;U$1)</f>
        <v>7</v>
      </c>
      <c r="V28" s="9">
        <f>SUMIFS($C:$C,$B:$B,"="&amp;$H28,$A:$A,"="&amp;V$1)</f>
        <v>7</v>
      </c>
      <c r="W28" s="9">
        <f>SUMIFS($C:$C,$B:$B,"="&amp;$H28,$A:$A,"="&amp;W$1)</f>
        <v>7</v>
      </c>
      <c r="X28" s="9">
        <f>SUMIFS($C:$C,$B:$B,"="&amp;$H28,$A:$A,"="&amp;X$1)</f>
        <v>7</v>
      </c>
      <c r="Y28" s="9">
        <f>SUMIFS($C:$C,$B:$B,"="&amp;$H28,$A:$A,"="&amp;Y$1)</f>
        <v>8</v>
      </c>
      <c r="Z28" s="9">
        <f>SUMIFS($C:$C,$B:$B,"="&amp;$H28,$A:$A,"="&amp;Z$1)</f>
        <v>8</v>
      </c>
      <c r="AA28" s="9">
        <f>SUMIFS($C:$C,$B:$B,"="&amp;$H28,$A:$A,"="&amp;AA$1)</f>
        <v>10</v>
      </c>
      <c r="AB28" s="9">
        <f>SUMIFS($C:$C,$B:$B,"="&amp;$H28,$A:$A,"="&amp;AB$1)</f>
        <v>10</v>
      </c>
      <c r="AC28" s="9">
        <f>SUMIFS($C:$C,$B:$B,"="&amp;$H28,$A:$A,"="&amp;AC$1)</f>
        <v>12</v>
      </c>
      <c r="AD28" s="9">
        <f>SUMIFS($C:$C,$B:$B,"="&amp;$H28,$A:$A,"="&amp;AD$1)</f>
        <v>12</v>
      </c>
      <c r="AE28" s="9">
        <f>SUMIFS($C:$C,$B:$B,"="&amp;$H28,$A:$A,"="&amp;AE$1)</f>
        <v>12</v>
      </c>
      <c r="AF28" s="9">
        <f>SUMIFS($C:$C,$B:$B,"="&amp;$H28,$A:$A,"="&amp;AF$1)</f>
        <v>12</v>
      </c>
      <c r="AH28" s="11">
        <f t="shared" si="0"/>
        <v>6</v>
      </c>
      <c r="AI28" s="11">
        <f t="shared" si="1"/>
        <v>17</v>
      </c>
      <c r="AJ28" s="11">
        <f t="shared" si="2"/>
        <v>0</v>
      </c>
    </row>
    <row r="29" spans="1:36" x14ac:dyDescent="0.25">
      <c r="A29" t="s">
        <v>10</v>
      </c>
      <c r="B29" t="s">
        <v>63</v>
      </c>
      <c r="C29">
        <v>18</v>
      </c>
      <c r="D29">
        <v>55</v>
      </c>
      <c r="E29">
        <v>189</v>
      </c>
      <c r="H29" t="s">
        <v>74</v>
      </c>
      <c r="I29" s="9">
        <f>SUMIFS($C:$C,$B:$B,"="&amp;$H29,$A:$A,"="&amp;I$1)</f>
        <v>0</v>
      </c>
      <c r="J29" s="9">
        <f>SUMIFS($C:$C,$B:$B,"="&amp;$H29,$A:$A,"="&amp;J$1)</f>
        <v>45</v>
      </c>
      <c r="K29" s="9">
        <f>SUMIFS($C:$C,$B:$B,"="&amp;$H29,$A:$A,"="&amp;K$1)</f>
        <v>48</v>
      </c>
      <c r="L29" s="9">
        <f>SUMIFS($C:$C,$B:$B,"="&amp;$H29,$A:$A,"="&amp;L$1)</f>
        <v>73</v>
      </c>
      <c r="M29" s="9">
        <f>SUMIFS($C:$C,$B:$B,"="&amp;$H29,$A:$A,"="&amp;M$1)</f>
        <v>73</v>
      </c>
      <c r="N29" s="9">
        <f>SUMIFS($C:$C,$B:$B,"="&amp;$H29,$A:$A,"="&amp;N$1)</f>
        <v>121</v>
      </c>
      <c r="O29" s="9">
        <f>SUMIFS($C:$C,$B:$B,"="&amp;$H29,$A:$A,"="&amp;O$1)</f>
        <v>121</v>
      </c>
      <c r="P29" s="9">
        <f>SUMIFS($C:$C,$B:$B,"="&amp;$H29,$A:$A,"="&amp;P$1)</f>
        <v>124</v>
      </c>
      <c r="Q29" s="9">
        <f>SUMIFS($C:$C,$B:$B,"="&amp;$H29,$A:$A,"="&amp;Q$1)</f>
        <v>125</v>
      </c>
      <c r="R29" s="9">
        <f>SUMIFS($C:$C,$B:$B,"="&amp;$H29,$A:$A,"="&amp;R$1)</f>
        <v>125</v>
      </c>
      <c r="S29" s="9">
        <f>SUMIFS($C:$C,$B:$B,"="&amp;$H29,$A:$A,"="&amp;S$1)</f>
        <v>150</v>
      </c>
      <c r="T29" s="9">
        <f>SUMIFS($C:$C,$B:$B,"="&amp;$H29,$A:$A,"="&amp;T$1)</f>
        <v>149</v>
      </c>
      <c r="U29" s="9">
        <f>SUMIFS($C:$C,$B:$B,"="&amp;$H29,$A:$A,"="&amp;U$1)</f>
        <v>143</v>
      </c>
      <c r="V29" s="9">
        <f>SUMIFS($C:$C,$B:$B,"="&amp;$H29,$A:$A,"="&amp;V$1)</f>
        <v>151</v>
      </c>
      <c r="W29" s="9">
        <f>SUMIFS($C:$C,$B:$B,"="&amp;$H29,$A:$A,"="&amp;W$1)</f>
        <v>151</v>
      </c>
      <c r="X29" s="9">
        <f>SUMIFS($C:$C,$B:$B,"="&amp;$H29,$A:$A,"="&amp;X$1)</f>
        <v>151</v>
      </c>
      <c r="Y29" s="9">
        <f>SUMIFS($C:$C,$B:$B,"="&amp;$H29,$A:$A,"="&amp;Y$1)</f>
        <v>248</v>
      </c>
      <c r="Z29" s="9">
        <f>SUMIFS($C:$C,$B:$B,"="&amp;$H29,$A:$A,"="&amp;Z$1)</f>
        <v>252</v>
      </c>
      <c r="AA29" s="9">
        <f>SUMIFS($C:$C,$B:$B,"="&amp;$H29,$A:$A,"="&amp;AA$1)</f>
        <v>292</v>
      </c>
      <c r="AB29" s="9">
        <f>SUMIFS($C:$C,$B:$B,"="&amp;$H29,$A:$A,"="&amp;AB$1)</f>
        <v>291</v>
      </c>
      <c r="AC29" s="9">
        <f>SUMIFS($C:$C,$B:$B,"="&amp;$H29,$A:$A,"="&amp;AC$1)</f>
        <v>399</v>
      </c>
      <c r="AD29" s="9">
        <f>SUMIFS($C:$C,$B:$B,"="&amp;$H29,$A:$A,"="&amp;AD$1)</f>
        <v>400</v>
      </c>
      <c r="AE29" s="9">
        <f>SUMIFS($C:$C,$B:$B,"="&amp;$H29,$A:$A,"="&amp;AE$1)</f>
        <v>400</v>
      </c>
      <c r="AF29" s="9">
        <f>SUMIFS($C:$C,$B:$B,"="&amp;$H29,$A:$A,"="&amp;AF$1)</f>
        <v>408</v>
      </c>
      <c r="AH29" s="11">
        <f t="shared" si="0"/>
        <v>14</v>
      </c>
      <c r="AI29" s="11">
        <f t="shared" si="1"/>
        <v>6</v>
      </c>
      <c r="AJ29" s="11">
        <f t="shared" si="2"/>
        <v>3</v>
      </c>
    </row>
    <row r="30" spans="1:36" x14ac:dyDescent="0.25">
      <c r="A30" t="s">
        <v>10</v>
      </c>
      <c r="B30" t="s">
        <v>76</v>
      </c>
      <c r="C30">
        <v>1</v>
      </c>
      <c r="D30">
        <v>14</v>
      </c>
      <c r="E30">
        <v>18</v>
      </c>
      <c r="H30" t="s">
        <v>75</v>
      </c>
      <c r="I30" s="9">
        <f>SUMIFS($C:$C,$B:$B,"="&amp;$H30,$A:$A,"="&amp;I$1)</f>
        <v>0</v>
      </c>
      <c r="J30" s="9">
        <f>SUMIFS($C:$C,$B:$B,"="&amp;$H30,$A:$A,"="&amp;J$1)</f>
        <v>1</v>
      </c>
      <c r="K30" s="9">
        <f>SUMIFS($C:$C,$B:$B,"="&amp;$H30,$A:$A,"="&amp;K$1)</f>
        <v>1</v>
      </c>
      <c r="L30" s="9">
        <f>SUMIFS($C:$C,$B:$B,"="&amp;$H30,$A:$A,"="&amp;L$1)</f>
        <v>1</v>
      </c>
      <c r="M30" s="9">
        <f>SUMIFS($C:$C,$B:$B,"="&amp;$H30,$A:$A,"="&amp;M$1)</f>
        <v>1</v>
      </c>
      <c r="N30" s="9">
        <f>SUMIFS($C:$C,$B:$B,"="&amp;$H30,$A:$A,"="&amp;N$1)</f>
        <v>2</v>
      </c>
      <c r="O30" s="9">
        <f>SUMIFS($C:$C,$B:$B,"="&amp;$H30,$A:$A,"="&amp;O$1)</f>
        <v>2</v>
      </c>
      <c r="P30" s="9">
        <f>SUMIFS($C:$C,$B:$B,"="&amp;$H30,$A:$A,"="&amp;P$1)</f>
        <v>2</v>
      </c>
      <c r="Q30" s="9">
        <f>SUMIFS($C:$C,$B:$B,"="&amp;$H30,$A:$A,"="&amp;Q$1)</f>
        <v>2</v>
      </c>
      <c r="R30" s="9">
        <f>SUMIFS($C:$C,$B:$B,"="&amp;$H30,$A:$A,"="&amp;R$1)</f>
        <v>2</v>
      </c>
      <c r="S30" s="9">
        <f>SUMIFS($C:$C,$B:$B,"="&amp;$H30,$A:$A,"="&amp;S$1)</f>
        <v>2</v>
      </c>
      <c r="T30" s="9">
        <f>SUMIFS($C:$C,$B:$B,"="&amp;$H30,$A:$A,"="&amp;T$1)</f>
        <v>2</v>
      </c>
      <c r="U30" s="9">
        <f>SUMIFS($C:$C,$B:$B,"="&amp;$H30,$A:$A,"="&amp;U$1)</f>
        <v>2</v>
      </c>
      <c r="V30" s="9">
        <f>SUMIFS($C:$C,$B:$B,"="&amp;$H30,$A:$A,"="&amp;V$1)</f>
        <v>2</v>
      </c>
      <c r="W30" s="9">
        <f>SUMIFS($C:$C,$B:$B,"="&amp;$H30,$A:$A,"="&amp;W$1)</f>
        <v>2</v>
      </c>
      <c r="X30" s="9">
        <f>SUMIFS($C:$C,$B:$B,"="&amp;$H30,$A:$A,"="&amp;X$1)</f>
        <v>2</v>
      </c>
      <c r="Y30" s="9">
        <f>SUMIFS($C:$C,$B:$B,"="&amp;$H30,$A:$A,"="&amp;Y$1)</f>
        <v>2</v>
      </c>
      <c r="Z30" s="9">
        <f>SUMIFS($C:$C,$B:$B,"="&amp;$H30,$A:$A,"="&amp;Z$1)</f>
        <v>2</v>
      </c>
      <c r="AA30" s="9">
        <f>SUMIFS($C:$C,$B:$B,"="&amp;$H30,$A:$A,"="&amp;AA$1)</f>
        <v>2</v>
      </c>
      <c r="AB30" s="9">
        <f>SUMIFS($C:$C,$B:$B,"="&amp;$H30,$A:$A,"="&amp;AB$1)</f>
        <v>2</v>
      </c>
      <c r="AC30" s="9">
        <f>SUMIFS($C:$C,$B:$B,"="&amp;$H30,$A:$A,"="&amp;AC$1)</f>
        <v>2</v>
      </c>
      <c r="AD30" s="9">
        <f>SUMIFS($C:$C,$B:$B,"="&amp;$H30,$A:$A,"="&amp;AD$1)</f>
        <v>2</v>
      </c>
      <c r="AE30" s="9">
        <f>SUMIFS($C:$C,$B:$B,"="&amp;$H30,$A:$A,"="&amp;AE$1)</f>
        <v>2</v>
      </c>
      <c r="AF30" s="9">
        <f>SUMIFS($C:$C,$B:$B,"="&amp;$H30,$A:$A,"="&amp;AF$1)</f>
        <v>2</v>
      </c>
      <c r="AH30" s="11">
        <f t="shared" si="0"/>
        <v>2</v>
      </c>
      <c r="AI30" s="11">
        <f t="shared" si="1"/>
        <v>21</v>
      </c>
      <c r="AJ30" s="11">
        <f t="shared" si="2"/>
        <v>0</v>
      </c>
    </row>
    <row r="31" spans="1:36" x14ac:dyDescent="0.25">
      <c r="A31" t="s">
        <v>10</v>
      </c>
      <c r="B31" t="s">
        <v>80</v>
      </c>
      <c r="C31">
        <v>3</v>
      </c>
      <c r="D31">
        <v>6</v>
      </c>
      <c r="E31">
        <v>18</v>
      </c>
      <c r="H31" t="s">
        <v>63</v>
      </c>
      <c r="I31" s="9">
        <f>SUMIFS($C:$C,$B:$B,"="&amp;$H31,$A:$A,"="&amp;I$1)</f>
        <v>0</v>
      </c>
      <c r="J31" s="9">
        <f>SUMIFS($C:$C,$B:$B,"="&amp;$H31,$A:$A,"="&amp;J$1)</f>
        <v>12</v>
      </c>
      <c r="K31" s="9">
        <f>SUMIFS($C:$C,$B:$B,"="&amp;$H31,$A:$A,"="&amp;K$1)</f>
        <v>6</v>
      </c>
      <c r="L31" s="9">
        <f>SUMIFS($C:$C,$B:$B,"="&amp;$H31,$A:$A,"="&amp;L$1)</f>
        <v>18</v>
      </c>
      <c r="M31" s="9">
        <f>SUMIFS($C:$C,$B:$B,"="&amp;$H31,$A:$A,"="&amp;M$1)</f>
        <v>18</v>
      </c>
      <c r="N31" s="9">
        <f>SUMIFS($C:$C,$B:$B,"="&amp;$H31,$A:$A,"="&amp;N$1)</f>
        <v>21</v>
      </c>
      <c r="O31" s="9">
        <f>SUMIFS($C:$C,$B:$B,"="&amp;$H31,$A:$A,"="&amp;O$1)</f>
        <v>21</v>
      </c>
      <c r="P31" s="9">
        <f>SUMIFS($C:$C,$B:$B,"="&amp;$H31,$A:$A,"="&amp;P$1)</f>
        <v>21</v>
      </c>
      <c r="Q31" s="9">
        <f>SUMIFS($C:$C,$B:$B,"="&amp;$H31,$A:$A,"="&amp;Q$1)</f>
        <v>21</v>
      </c>
      <c r="R31" s="9">
        <f>SUMIFS($C:$C,$B:$B,"="&amp;$H31,$A:$A,"="&amp;R$1)</f>
        <v>21</v>
      </c>
      <c r="S31" s="9">
        <f>SUMIFS($C:$C,$B:$B,"="&amp;$H31,$A:$A,"="&amp;S$1)</f>
        <v>25</v>
      </c>
      <c r="T31" s="9">
        <f>SUMIFS($C:$C,$B:$B,"="&amp;$H31,$A:$A,"="&amp;T$1)</f>
        <v>28</v>
      </c>
      <c r="U31" s="9">
        <f>SUMIFS($C:$C,$B:$B,"="&amp;$H31,$A:$A,"="&amp;U$1)</f>
        <v>29</v>
      </c>
      <c r="V31" s="9">
        <f>SUMIFS($C:$C,$B:$B,"="&amp;$H31,$A:$A,"="&amp;V$1)</f>
        <v>28</v>
      </c>
      <c r="W31" s="9">
        <f>SUMIFS($C:$C,$B:$B,"="&amp;$H31,$A:$A,"="&amp;W$1)</f>
        <v>28</v>
      </c>
      <c r="X31" s="9">
        <f>SUMIFS($C:$C,$B:$B,"="&amp;$H31,$A:$A,"="&amp;X$1)</f>
        <v>28</v>
      </c>
      <c r="Y31" s="9">
        <f>SUMIFS($C:$C,$B:$B,"="&amp;$H31,$A:$A,"="&amp;Y$1)</f>
        <v>32</v>
      </c>
      <c r="Z31" s="9">
        <f>SUMIFS($C:$C,$B:$B,"="&amp;$H31,$A:$A,"="&amp;Z$1)</f>
        <v>32</v>
      </c>
      <c r="AA31" s="9">
        <f>SUMIFS($C:$C,$B:$B,"="&amp;$H31,$A:$A,"="&amp;AA$1)</f>
        <v>37</v>
      </c>
      <c r="AB31" s="9">
        <f>SUMIFS($C:$C,$B:$B,"="&amp;$H31,$A:$A,"="&amp;AB$1)</f>
        <v>36</v>
      </c>
      <c r="AC31" s="9">
        <f>SUMIFS($C:$C,$B:$B,"="&amp;$H31,$A:$A,"="&amp;AC$1)</f>
        <v>93</v>
      </c>
      <c r="AD31" s="9">
        <f>SUMIFS($C:$C,$B:$B,"="&amp;$H31,$A:$A,"="&amp;AD$1)</f>
        <v>94</v>
      </c>
      <c r="AE31" s="9">
        <f>SUMIFS($C:$C,$B:$B,"="&amp;$H31,$A:$A,"="&amp;AE$1)</f>
        <v>94</v>
      </c>
      <c r="AF31" s="9">
        <f>SUMIFS($C:$C,$B:$B,"="&amp;$H31,$A:$A,"="&amp;AF$1)</f>
        <v>94</v>
      </c>
      <c r="AH31" s="11">
        <f t="shared" si="0"/>
        <v>10</v>
      </c>
      <c r="AI31" s="11">
        <f t="shared" si="1"/>
        <v>10</v>
      </c>
      <c r="AJ31" s="11">
        <f t="shared" si="2"/>
        <v>3</v>
      </c>
    </row>
    <row r="32" spans="1:36" x14ac:dyDescent="0.25">
      <c r="A32" t="s">
        <v>10</v>
      </c>
      <c r="B32" t="s">
        <v>81</v>
      </c>
      <c r="C32">
        <v>1</v>
      </c>
      <c r="D32">
        <v>12</v>
      </c>
      <c r="E32">
        <v>10</v>
      </c>
      <c r="H32" t="s">
        <v>64</v>
      </c>
      <c r="I32" s="9">
        <f>SUMIFS($C:$C,$B:$B,"="&amp;$H32,$A:$A,"="&amp;I$1)</f>
        <v>45</v>
      </c>
      <c r="J32" s="9">
        <f>SUMIFS($C:$C,$B:$B,"="&amp;$H32,$A:$A,"="&amp;J$1)</f>
        <v>97</v>
      </c>
      <c r="K32" s="9">
        <f>SUMIFS($C:$C,$B:$B,"="&amp;$H32,$A:$A,"="&amp;K$1)</f>
        <v>103</v>
      </c>
      <c r="L32" s="9">
        <f>SUMIFS($C:$C,$B:$B,"="&amp;$H32,$A:$A,"="&amp;L$1)</f>
        <v>143</v>
      </c>
      <c r="M32" s="9">
        <f>SUMIFS($C:$C,$B:$B,"="&amp;$H32,$A:$A,"="&amp;M$1)</f>
        <v>143</v>
      </c>
      <c r="N32" s="9">
        <f>SUMIFS($C:$C,$B:$B,"="&amp;$H32,$A:$A,"="&amp;N$1)</f>
        <v>212</v>
      </c>
      <c r="O32" s="9">
        <f>SUMIFS($C:$C,$B:$B,"="&amp;$H32,$A:$A,"="&amp;O$1)</f>
        <v>212</v>
      </c>
      <c r="P32" s="9">
        <f>SUMIFS($C:$C,$B:$B,"="&amp;$H32,$A:$A,"="&amp;P$1)</f>
        <v>216</v>
      </c>
      <c r="Q32" s="9">
        <f>SUMIFS($C:$C,$B:$B,"="&amp;$H32,$A:$A,"="&amp;Q$1)</f>
        <v>216</v>
      </c>
      <c r="R32" s="9">
        <f>SUMIFS($C:$C,$B:$B,"="&amp;$H32,$A:$A,"="&amp;R$1)</f>
        <v>216</v>
      </c>
      <c r="S32" s="9">
        <f>SUMIFS($C:$C,$B:$B,"="&amp;$H32,$A:$A,"="&amp;S$1)</f>
        <v>275</v>
      </c>
      <c r="T32" s="9">
        <f>SUMIFS($C:$C,$B:$B,"="&amp;$H32,$A:$A,"="&amp;T$1)</f>
        <v>277</v>
      </c>
      <c r="U32" s="9">
        <f>SUMIFS($C:$C,$B:$B,"="&amp;$H32,$A:$A,"="&amp;U$1)</f>
        <v>280</v>
      </c>
      <c r="V32" s="9">
        <f>SUMIFS($C:$C,$B:$B,"="&amp;$H32,$A:$A,"="&amp;V$1)</f>
        <v>287</v>
      </c>
      <c r="W32" s="9">
        <f>SUMIFS($C:$C,$B:$B,"="&amp;$H32,$A:$A,"="&amp;W$1)</f>
        <v>287</v>
      </c>
      <c r="X32" s="9">
        <f>SUMIFS($C:$C,$B:$B,"="&amp;$H32,$A:$A,"="&amp;X$1)</f>
        <v>287</v>
      </c>
      <c r="Y32" s="9">
        <f>SUMIFS($C:$C,$B:$B,"="&amp;$H32,$A:$A,"="&amp;Y$1)</f>
        <v>367</v>
      </c>
      <c r="Z32" s="9">
        <f>SUMIFS($C:$C,$B:$B,"="&amp;$H32,$A:$A,"="&amp;Z$1)</f>
        <v>377</v>
      </c>
      <c r="AA32" s="9">
        <f>SUMIFS($C:$C,$B:$B,"="&amp;$H32,$A:$A,"="&amp;AA$1)</f>
        <v>416</v>
      </c>
      <c r="AB32" s="9">
        <f>SUMIFS($C:$C,$B:$B,"="&amp;$H32,$A:$A,"="&amp;AB$1)</f>
        <v>418</v>
      </c>
      <c r="AC32" s="9">
        <f>SUMIFS($C:$C,$B:$B,"="&amp;$H32,$A:$A,"="&amp;AC$1)</f>
        <v>547</v>
      </c>
      <c r="AD32" s="9">
        <f>SUMIFS($C:$C,$B:$B,"="&amp;$H32,$A:$A,"="&amp;AD$1)</f>
        <v>547</v>
      </c>
      <c r="AE32" s="9">
        <f>SUMIFS($C:$C,$B:$B,"="&amp;$H32,$A:$A,"="&amp;AE$1)</f>
        <v>547</v>
      </c>
      <c r="AF32" s="9">
        <f>SUMIFS($C:$C,$B:$B,"="&amp;$H32,$A:$A,"="&amp;AF$1)</f>
        <v>552</v>
      </c>
      <c r="AH32" s="11">
        <f t="shared" si="0"/>
        <v>15</v>
      </c>
      <c r="AI32" s="11">
        <f t="shared" si="1"/>
        <v>8</v>
      </c>
      <c r="AJ32" s="11">
        <f t="shared" si="2"/>
        <v>0</v>
      </c>
    </row>
    <row r="33" spans="1:36" x14ac:dyDescent="0.25">
      <c r="A33" t="s">
        <v>10</v>
      </c>
      <c r="B33" t="s">
        <v>74</v>
      </c>
      <c r="C33">
        <v>73</v>
      </c>
      <c r="D33">
        <v>9</v>
      </c>
      <c r="E33">
        <v>50</v>
      </c>
      <c r="H33" t="s">
        <v>65</v>
      </c>
      <c r="I33" s="9">
        <f>SUMIFS($C:$C,$B:$B,"="&amp;$H33,$A:$A,"="&amp;I$1)</f>
        <v>2</v>
      </c>
      <c r="J33" s="9">
        <f>SUMIFS($C:$C,$B:$B,"="&amp;$H33,$A:$A,"="&amp;J$1)</f>
        <v>2</v>
      </c>
      <c r="K33" s="9">
        <f>SUMIFS($C:$C,$B:$B,"="&amp;$H33,$A:$A,"="&amp;K$1)</f>
        <v>2</v>
      </c>
      <c r="L33" s="9">
        <f>SUMIFS($C:$C,$B:$B,"="&amp;$H33,$A:$A,"="&amp;L$1)</f>
        <v>2</v>
      </c>
      <c r="M33" s="9">
        <f>SUMIFS($C:$C,$B:$B,"="&amp;$H33,$A:$A,"="&amp;M$1)</f>
        <v>2</v>
      </c>
      <c r="N33" s="9">
        <f>SUMIFS($C:$C,$B:$B,"="&amp;$H33,$A:$A,"="&amp;N$1)</f>
        <v>2</v>
      </c>
      <c r="O33" s="9">
        <f>SUMIFS($C:$C,$B:$B,"="&amp;$H33,$A:$A,"="&amp;O$1)</f>
        <v>2</v>
      </c>
      <c r="P33" s="9">
        <f>SUMIFS($C:$C,$B:$B,"="&amp;$H33,$A:$A,"="&amp;P$1)</f>
        <v>2</v>
      </c>
      <c r="Q33" s="9">
        <f>SUMIFS($C:$C,$B:$B,"="&amp;$H33,$A:$A,"="&amp;Q$1)</f>
        <v>2</v>
      </c>
      <c r="R33" s="9">
        <f>SUMIFS($C:$C,$B:$B,"="&amp;$H33,$A:$A,"="&amp;R$1)</f>
        <v>2</v>
      </c>
      <c r="S33" s="9">
        <f>SUMIFS($C:$C,$B:$B,"="&amp;$H33,$A:$A,"="&amp;S$1)</f>
        <v>2</v>
      </c>
      <c r="T33" s="9">
        <f>SUMIFS($C:$C,$B:$B,"="&amp;$H33,$A:$A,"="&amp;T$1)</f>
        <v>2</v>
      </c>
      <c r="U33" s="9">
        <f>SUMIFS($C:$C,$B:$B,"="&amp;$H33,$A:$A,"="&amp;U$1)</f>
        <v>2</v>
      </c>
      <c r="V33" s="9">
        <f>SUMIFS($C:$C,$B:$B,"="&amp;$H33,$A:$A,"="&amp;V$1)</f>
        <v>2</v>
      </c>
      <c r="W33" s="9">
        <f>SUMIFS($C:$C,$B:$B,"="&amp;$H33,$A:$A,"="&amp;W$1)</f>
        <v>2</v>
      </c>
      <c r="X33" s="9">
        <f>SUMIFS($C:$C,$B:$B,"="&amp;$H33,$A:$A,"="&amp;X$1)</f>
        <v>2</v>
      </c>
      <c r="Y33" s="9">
        <f>SUMIFS($C:$C,$B:$B,"="&amp;$H33,$A:$A,"="&amp;Y$1)</f>
        <v>4</v>
      </c>
      <c r="Z33" s="9">
        <f>SUMIFS($C:$C,$B:$B,"="&amp;$H33,$A:$A,"="&amp;Z$1)</f>
        <v>4</v>
      </c>
      <c r="AA33" s="9">
        <f>SUMIFS($C:$C,$B:$B,"="&amp;$H33,$A:$A,"="&amp;AA$1)</f>
        <v>4</v>
      </c>
      <c r="AB33" s="9">
        <f>SUMIFS($C:$C,$B:$B,"="&amp;$H33,$A:$A,"="&amp;AB$1)</f>
        <v>4</v>
      </c>
      <c r="AC33" s="9">
        <f>SUMIFS($C:$C,$B:$B,"="&amp;$H33,$A:$A,"="&amp;AC$1)</f>
        <v>4</v>
      </c>
      <c r="AD33" s="9">
        <f>SUMIFS($C:$C,$B:$B,"="&amp;$H33,$A:$A,"="&amp;AD$1)</f>
        <v>4</v>
      </c>
      <c r="AE33" s="9">
        <f>SUMIFS($C:$C,$B:$B,"="&amp;$H33,$A:$A,"="&amp;AE$1)</f>
        <v>4</v>
      </c>
      <c r="AF33" s="9">
        <f>SUMIFS($C:$C,$B:$B,"="&amp;$H33,$A:$A,"="&amp;AF$1)</f>
        <v>4</v>
      </c>
      <c r="AH33" s="11">
        <f t="shared" si="0"/>
        <v>1</v>
      </c>
      <c r="AI33" s="11">
        <f t="shared" si="1"/>
        <v>22</v>
      </c>
      <c r="AJ33" s="11">
        <f t="shared" si="2"/>
        <v>0</v>
      </c>
    </row>
    <row r="34" spans="1:36" x14ac:dyDescent="0.25">
      <c r="A34" t="s">
        <v>10</v>
      </c>
      <c r="B34" t="s">
        <v>77</v>
      </c>
      <c r="C34">
        <v>16</v>
      </c>
      <c r="D34">
        <v>6</v>
      </c>
      <c r="E34">
        <v>6</v>
      </c>
    </row>
    <row r="35" spans="1:36" x14ac:dyDescent="0.25">
      <c r="A35" t="s">
        <v>10</v>
      </c>
      <c r="B35" t="s">
        <v>78</v>
      </c>
      <c r="C35">
        <v>1</v>
      </c>
      <c r="D35">
        <v>1</v>
      </c>
      <c r="E35">
        <v>3</v>
      </c>
    </row>
    <row r="36" spans="1:36" x14ac:dyDescent="0.25">
      <c r="A36" t="s">
        <v>10</v>
      </c>
      <c r="B36" t="s">
        <v>75</v>
      </c>
      <c r="C36">
        <v>1</v>
      </c>
      <c r="D36">
        <v>0</v>
      </c>
      <c r="E36">
        <v>2</v>
      </c>
      <c r="H36" t="s">
        <v>127</v>
      </c>
      <c r="I36" s="3" t="s">
        <v>7</v>
      </c>
      <c r="J36" s="3" t="s">
        <v>8</v>
      </c>
      <c r="K36" s="3" t="s">
        <v>9</v>
      </c>
      <c r="L36" s="3" t="s">
        <v>10</v>
      </c>
      <c r="M36" s="3" t="s">
        <v>11</v>
      </c>
      <c r="N36" s="3" t="s">
        <v>12</v>
      </c>
      <c r="O36" s="3" t="s">
        <v>13</v>
      </c>
      <c r="P36" s="3" t="s">
        <v>14</v>
      </c>
      <c r="Q36" s="3" t="s">
        <v>15</v>
      </c>
      <c r="R36" s="3" t="s">
        <v>16</v>
      </c>
      <c r="S36" s="3" t="s">
        <v>17</v>
      </c>
      <c r="T36" s="3" t="s">
        <v>18</v>
      </c>
      <c r="U36" s="3" t="s">
        <v>19</v>
      </c>
      <c r="V36" s="3" t="s">
        <v>20</v>
      </c>
      <c r="W36" s="3" t="s">
        <v>21</v>
      </c>
      <c r="X36" s="3" t="s">
        <v>22</v>
      </c>
      <c r="Y36" s="3" t="s">
        <v>23</v>
      </c>
      <c r="Z36" s="3" t="s">
        <v>24</v>
      </c>
      <c r="AA36" s="3" t="s">
        <v>25</v>
      </c>
      <c r="AB36" s="3" t="s">
        <v>26</v>
      </c>
      <c r="AC36" s="3" t="s">
        <v>27</v>
      </c>
      <c r="AD36" s="3" t="s">
        <v>28</v>
      </c>
      <c r="AE36" s="3" t="s">
        <v>29</v>
      </c>
      <c r="AF36" s="3" t="s">
        <v>30</v>
      </c>
    </row>
    <row r="37" spans="1:36" x14ac:dyDescent="0.25">
      <c r="A37" t="s">
        <v>10</v>
      </c>
      <c r="B37" t="s">
        <v>65</v>
      </c>
      <c r="C37">
        <v>2</v>
      </c>
      <c r="D37">
        <v>0</v>
      </c>
      <c r="E37">
        <v>6</v>
      </c>
      <c r="H37" t="s">
        <v>93</v>
      </c>
      <c r="I37" s="9">
        <f>SUMIFS($D:$D,$B:$B,"="&amp;$H37,$A:$A,"="&amp;I$1)</f>
        <v>0</v>
      </c>
      <c r="J37" s="9">
        <f>SUMIFS($D:$D,$B:$B,"="&amp;$H37,$A:$A,"="&amp;J$1)</f>
        <v>0</v>
      </c>
      <c r="K37" s="9">
        <f>SUMIFS($D:$D,$B:$B,"="&amp;$H37,$A:$A,"="&amp;K$1)</f>
        <v>0</v>
      </c>
      <c r="L37" s="9">
        <f>SUMIFS($D:$D,$B:$B,"="&amp;$H37,$A:$A,"="&amp;L$1)</f>
        <v>0</v>
      </c>
      <c r="M37" s="9">
        <f>SUMIFS($D:$D,$B:$B,"="&amp;$H37,$A:$A,"="&amp;M$1)</f>
        <v>0</v>
      </c>
      <c r="N37" s="9">
        <f>SUMIFS($D:$D,$B:$B,"="&amp;$H37,$A:$A,"="&amp;N$1)</f>
        <v>0</v>
      </c>
      <c r="O37" s="9">
        <f>SUMIFS($D:$D,$B:$B,"="&amp;$H37,$A:$A,"="&amp;O$1)</f>
        <v>0</v>
      </c>
      <c r="P37" s="9">
        <f>SUMIFS($D:$D,$B:$B,"="&amp;$H37,$A:$A,"="&amp;P$1)</f>
        <v>0</v>
      </c>
      <c r="Q37" s="9">
        <f>SUMIFS($D:$D,$B:$B,"="&amp;$H37,$A:$A,"="&amp;Q$1)</f>
        <v>0</v>
      </c>
      <c r="R37" s="9">
        <f>SUMIFS($D:$D,$B:$B,"="&amp;$H37,$A:$A,"="&amp;R$1)</f>
        <v>0</v>
      </c>
      <c r="S37" s="9">
        <f>SUMIFS($D:$D,$B:$B,"="&amp;$H37,$A:$A,"="&amp;S$1)</f>
        <v>3</v>
      </c>
      <c r="T37" s="9">
        <f>SUMIFS($D:$D,$B:$B,"="&amp;$H37,$A:$A,"="&amp;T$1)</f>
        <v>3</v>
      </c>
      <c r="U37" s="9">
        <f>SUMIFS($D:$D,$B:$B,"="&amp;$H37,$A:$A,"="&amp;U$1)</f>
        <v>3</v>
      </c>
      <c r="V37" s="9">
        <f>SUMIFS($D:$D,$B:$B,"="&amp;$H37,$A:$A,"="&amp;V$1)</f>
        <v>3</v>
      </c>
      <c r="W37" s="9">
        <f>SUMIFS($D:$D,$B:$B,"="&amp;$H37,$A:$A,"="&amp;W$1)</f>
        <v>3</v>
      </c>
      <c r="X37" s="9">
        <f>SUMIFS($D:$D,$B:$B,"="&amp;$H37,$A:$A,"="&amp;X$1)</f>
        <v>3</v>
      </c>
      <c r="Y37" s="9">
        <f>SUMIFS($D:$D,$B:$B,"="&amp;$H37,$A:$A,"="&amp;Y$1)</f>
        <v>0</v>
      </c>
      <c r="Z37" s="9">
        <f>SUMIFS($D:$D,$B:$B,"="&amp;$H37,$A:$A,"="&amp;Z$1)</f>
        <v>0</v>
      </c>
      <c r="AA37" s="9">
        <f>SUMIFS($D:$D,$B:$B,"="&amp;$H37,$A:$A,"="&amp;AA$1)</f>
        <v>0</v>
      </c>
      <c r="AB37" s="9">
        <f>SUMIFS($D:$D,$B:$B,"="&amp;$H37,$A:$A,"="&amp;AB$1)</f>
        <v>0</v>
      </c>
      <c r="AC37" s="9">
        <f>SUMIFS($D:$D,$B:$B,"="&amp;$H37,$A:$A,"="&amp;AC$1)</f>
        <v>0</v>
      </c>
      <c r="AD37" s="9">
        <f>SUMIFS($D:$D,$B:$B,"="&amp;$H37,$A:$A,"="&amp;AD$1)</f>
        <v>0</v>
      </c>
      <c r="AE37" s="9">
        <f>SUMIFS($D:$D,$B:$B,"="&amp;$H37,$A:$A,"="&amp;AE$1)</f>
        <v>0</v>
      </c>
      <c r="AF37" s="9">
        <f>SUMIFS($D:$D,$B:$B,"="&amp;$H37,$A:$A,"="&amp;AF$1)</f>
        <v>0</v>
      </c>
      <c r="AH37" s="11">
        <f>Crescimentos(I37:AF37)</f>
        <v>1</v>
      </c>
      <c r="AI37" s="11">
        <f>Estabilizacoes(I37:AF37)</f>
        <v>21</v>
      </c>
      <c r="AJ37" s="11">
        <f>Reducoes(I37:AF37)</f>
        <v>1</v>
      </c>
    </row>
    <row r="38" spans="1:36" x14ac:dyDescent="0.25">
      <c r="A38" t="s">
        <v>10</v>
      </c>
      <c r="B38" t="s">
        <v>82</v>
      </c>
      <c r="C38">
        <v>4</v>
      </c>
      <c r="D38">
        <v>0</v>
      </c>
      <c r="E38">
        <v>16</v>
      </c>
      <c r="H38" t="s">
        <v>101</v>
      </c>
      <c r="I38" s="9">
        <f>SUMIFS($D:$D,$B:$B,"="&amp;$H38,$A:$A,"="&amp;I$1)</f>
        <v>0</v>
      </c>
      <c r="J38" s="9">
        <f>SUMIFS($D:$D,$B:$B,"="&amp;$H38,$A:$A,"="&amp;J$1)</f>
        <v>0</v>
      </c>
      <c r="K38" s="9">
        <f>SUMIFS($D:$D,$B:$B,"="&amp;$H38,$A:$A,"="&amp;K$1)</f>
        <v>0</v>
      </c>
      <c r="L38" s="9">
        <f>SUMIFS($D:$D,$B:$B,"="&amp;$H38,$A:$A,"="&amp;L$1)</f>
        <v>0</v>
      </c>
      <c r="M38" s="9">
        <f>SUMIFS($D:$D,$B:$B,"="&amp;$H38,$A:$A,"="&amp;M$1)</f>
        <v>0</v>
      </c>
      <c r="N38" s="9">
        <f>SUMIFS($D:$D,$B:$B,"="&amp;$H38,$A:$A,"="&amp;N$1)</f>
        <v>0</v>
      </c>
      <c r="O38" s="9">
        <f>SUMIFS($D:$D,$B:$B,"="&amp;$H38,$A:$A,"="&amp;O$1)</f>
        <v>0</v>
      </c>
      <c r="P38" s="9">
        <f>SUMIFS($D:$D,$B:$B,"="&amp;$H38,$A:$A,"="&amp;P$1)</f>
        <v>0</v>
      </c>
      <c r="Q38" s="9">
        <f>SUMIFS($D:$D,$B:$B,"="&amp;$H38,$A:$A,"="&amp;Q$1)</f>
        <v>0</v>
      </c>
      <c r="R38" s="9">
        <f>SUMIFS($D:$D,$B:$B,"="&amp;$H38,$A:$A,"="&amp;R$1)</f>
        <v>0</v>
      </c>
      <c r="S38" s="9">
        <f>SUMIFS($D:$D,$B:$B,"="&amp;$H38,$A:$A,"="&amp;S$1)</f>
        <v>0</v>
      </c>
      <c r="T38" s="9">
        <f>SUMIFS($D:$D,$B:$B,"="&amp;$H38,$A:$A,"="&amp;T$1)</f>
        <v>0</v>
      </c>
      <c r="U38" s="9">
        <f>SUMIFS($D:$D,$B:$B,"="&amp;$H38,$A:$A,"="&amp;U$1)</f>
        <v>0</v>
      </c>
      <c r="V38" s="9">
        <f>SUMIFS($D:$D,$B:$B,"="&amp;$H38,$A:$A,"="&amp;V$1)</f>
        <v>0</v>
      </c>
      <c r="W38" s="9">
        <f>SUMIFS($D:$D,$B:$B,"="&amp;$H38,$A:$A,"="&amp;W$1)</f>
        <v>0</v>
      </c>
      <c r="X38" s="9">
        <f>SUMIFS($D:$D,$B:$B,"="&amp;$H38,$A:$A,"="&amp;X$1)</f>
        <v>0</v>
      </c>
      <c r="Y38" s="9">
        <f>SUMIFS($D:$D,$B:$B,"="&amp;$H38,$A:$A,"="&amp;Y$1)</f>
        <v>0</v>
      </c>
      <c r="Z38" s="9">
        <f>SUMIFS($D:$D,$B:$B,"="&amp;$H38,$A:$A,"="&amp;Z$1)</f>
        <v>0</v>
      </c>
      <c r="AA38" s="9">
        <f>SUMIFS($D:$D,$B:$B,"="&amp;$H38,$A:$A,"="&amp;AA$1)</f>
        <v>6</v>
      </c>
      <c r="AB38" s="9">
        <f>SUMIFS($D:$D,$B:$B,"="&amp;$H38,$A:$A,"="&amp;AB$1)</f>
        <v>6</v>
      </c>
      <c r="AC38" s="9">
        <f>SUMIFS($D:$D,$B:$B,"="&amp;$H38,$A:$A,"="&amp;AC$1)</f>
        <v>6</v>
      </c>
      <c r="AD38" s="9">
        <f>SUMIFS($D:$D,$B:$B,"="&amp;$H38,$A:$A,"="&amp;AD$1)</f>
        <v>6</v>
      </c>
      <c r="AE38" s="9">
        <f>SUMIFS($D:$D,$B:$B,"="&amp;$H38,$A:$A,"="&amp;AE$1)</f>
        <v>6</v>
      </c>
      <c r="AF38" s="9">
        <f>SUMIFS($D:$D,$B:$B,"="&amp;$H38,$A:$A,"="&amp;AF$1)</f>
        <v>6</v>
      </c>
      <c r="AH38" s="11">
        <f t="shared" ref="AH38:AH68" si="3">Crescimentos(I38:AF38)</f>
        <v>1</v>
      </c>
      <c r="AI38" s="11">
        <f t="shared" ref="AI38:AI68" si="4">Estabilizacoes(I38:AF38)</f>
        <v>22</v>
      </c>
      <c r="AJ38" s="11">
        <f t="shared" ref="AJ38:AJ68" si="5">Reducoes(I38:AF38)</f>
        <v>0</v>
      </c>
    </row>
    <row r="39" spans="1:36" x14ac:dyDescent="0.25">
      <c r="A39" t="s">
        <v>10</v>
      </c>
      <c r="B39" t="s">
        <v>66</v>
      </c>
      <c r="C39">
        <v>0</v>
      </c>
      <c r="D39">
        <v>1</v>
      </c>
      <c r="E39">
        <v>0</v>
      </c>
      <c r="H39" t="s">
        <v>66</v>
      </c>
      <c r="I39" s="9">
        <f>SUMIFS($D:$D,$B:$B,"="&amp;$H39,$A:$A,"="&amp;I$1)</f>
        <v>0</v>
      </c>
      <c r="J39" s="9">
        <f>SUMIFS($D:$D,$B:$B,"="&amp;$H39,$A:$A,"="&amp;J$1)</f>
        <v>10</v>
      </c>
      <c r="K39" s="9">
        <f>SUMIFS($D:$D,$B:$B,"="&amp;$H39,$A:$A,"="&amp;K$1)</f>
        <v>0</v>
      </c>
      <c r="L39" s="9">
        <f>SUMIFS($D:$D,$B:$B,"="&amp;$H39,$A:$A,"="&amp;L$1)</f>
        <v>1</v>
      </c>
      <c r="M39" s="9">
        <f>SUMIFS($D:$D,$B:$B,"="&amp;$H39,$A:$A,"="&amp;M$1)</f>
        <v>1</v>
      </c>
      <c r="N39" s="9">
        <f>SUMIFS($D:$D,$B:$B,"="&amp;$H39,$A:$A,"="&amp;N$1)</f>
        <v>0</v>
      </c>
      <c r="O39" s="9">
        <f>SUMIFS($D:$D,$B:$B,"="&amp;$H39,$A:$A,"="&amp;O$1)</f>
        <v>0</v>
      </c>
      <c r="P39" s="9">
        <f>SUMIFS($D:$D,$B:$B,"="&amp;$H39,$A:$A,"="&amp;P$1)</f>
        <v>0</v>
      </c>
      <c r="Q39" s="9">
        <f>SUMIFS($D:$D,$B:$B,"="&amp;$H39,$A:$A,"="&amp;Q$1)</f>
        <v>0</v>
      </c>
      <c r="R39" s="9">
        <f>SUMIFS($D:$D,$B:$B,"="&amp;$H39,$A:$A,"="&amp;R$1)</f>
        <v>0</v>
      </c>
      <c r="S39" s="9">
        <f>SUMIFS($D:$D,$B:$B,"="&amp;$H39,$A:$A,"="&amp;S$1)</f>
        <v>0</v>
      </c>
      <c r="T39" s="9">
        <f>SUMIFS($D:$D,$B:$B,"="&amp;$H39,$A:$A,"="&amp;T$1)</f>
        <v>0</v>
      </c>
      <c r="U39" s="9">
        <f>SUMIFS($D:$D,$B:$B,"="&amp;$H39,$A:$A,"="&amp;U$1)</f>
        <v>0</v>
      </c>
      <c r="V39" s="9">
        <f>SUMIFS($D:$D,$B:$B,"="&amp;$H39,$A:$A,"="&amp;V$1)</f>
        <v>0</v>
      </c>
      <c r="W39" s="9">
        <f>SUMIFS($D:$D,$B:$B,"="&amp;$H39,$A:$A,"="&amp;W$1)</f>
        <v>0</v>
      </c>
      <c r="X39" s="9">
        <f>SUMIFS($D:$D,$B:$B,"="&amp;$H39,$A:$A,"="&amp;X$1)</f>
        <v>0</v>
      </c>
      <c r="Y39" s="9">
        <f>SUMIFS($D:$D,$B:$B,"="&amp;$H39,$A:$A,"="&amp;Y$1)</f>
        <v>0</v>
      </c>
      <c r="Z39" s="9">
        <f>SUMIFS($D:$D,$B:$B,"="&amp;$H39,$A:$A,"="&amp;Z$1)</f>
        <v>0</v>
      </c>
      <c r="AA39" s="9">
        <f>SUMIFS($D:$D,$B:$B,"="&amp;$H39,$A:$A,"="&amp;AA$1)</f>
        <v>0</v>
      </c>
      <c r="AB39" s="9">
        <f>SUMIFS($D:$D,$B:$B,"="&amp;$H39,$A:$A,"="&amp;AB$1)</f>
        <v>0</v>
      </c>
      <c r="AC39" s="9">
        <f>SUMIFS($D:$D,$B:$B,"="&amp;$H39,$A:$A,"="&amp;AC$1)</f>
        <v>67</v>
      </c>
      <c r="AD39" s="9">
        <f>SUMIFS($D:$D,$B:$B,"="&amp;$H39,$A:$A,"="&amp;AD$1)</f>
        <v>67</v>
      </c>
      <c r="AE39" s="9">
        <f>SUMIFS($D:$D,$B:$B,"="&amp;$H39,$A:$A,"="&amp;AE$1)</f>
        <v>67</v>
      </c>
      <c r="AF39" s="9">
        <f>SUMIFS($D:$D,$B:$B,"="&amp;$H39,$A:$A,"="&amp;AF$1)</f>
        <v>67</v>
      </c>
      <c r="AH39" s="11">
        <f t="shared" si="3"/>
        <v>3</v>
      </c>
      <c r="AI39" s="11">
        <f t="shared" si="4"/>
        <v>18</v>
      </c>
      <c r="AJ39" s="11">
        <f t="shared" si="5"/>
        <v>2</v>
      </c>
    </row>
    <row r="40" spans="1:36" x14ac:dyDescent="0.25">
      <c r="A40" t="s">
        <v>11</v>
      </c>
      <c r="B40" t="s">
        <v>65</v>
      </c>
      <c r="C40">
        <v>2</v>
      </c>
      <c r="D40">
        <v>0</v>
      </c>
      <c r="E40">
        <v>6</v>
      </c>
      <c r="H40" t="s">
        <v>96</v>
      </c>
      <c r="I40" s="9">
        <f>SUMIFS($D:$D,$B:$B,"="&amp;$H40,$A:$A,"="&amp;I$1)</f>
        <v>0</v>
      </c>
      <c r="J40" s="9">
        <f>SUMIFS($D:$D,$B:$B,"="&amp;$H40,$A:$A,"="&amp;J$1)</f>
        <v>0</v>
      </c>
      <c r="K40" s="9">
        <f>SUMIFS($D:$D,$B:$B,"="&amp;$H40,$A:$A,"="&amp;K$1)</f>
        <v>0</v>
      </c>
      <c r="L40" s="9">
        <f>SUMIFS($D:$D,$B:$B,"="&amp;$H40,$A:$A,"="&amp;L$1)</f>
        <v>0</v>
      </c>
      <c r="M40" s="9">
        <f>SUMIFS($D:$D,$B:$B,"="&amp;$H40,$A:$A,"="&amp;M$1)</f>
        <v>0</v>
      </c>
      <c r="N40" s="9">
        <f>SUMIFS($D:$D,$B:$B,"="&amp;$H40,$A:$A,"="&amp;N$1)</f>
        <v>0</v>
      </c>
      <c r="O40" s="9">
        <f>SUMIFS($D:$D,$B:$B,"="&amp;$H40,$A:$A,"="&amp;O$1)</f>
        <v>0</v>
      </c>
      <c r="P40" s="9">
        <f>SUMIFS($D:$D,$B:$B,"="&amp;$H40,$A:$A,"="&amp;P$1)</f>
        <v>0</v>
      </c>
      <c r="Q40" s="9">
        <f>SUMIFS($D:$D,$B:$B,"="&amp;$H40,$A:$A,"="&amp;Q$1)</f>
        <v>0</v>
      </c>
      <c r="R40" s="9">
        <f>SUMIFS($D:$D,$B:$B,"="&amp;$H40,$A:$A,"="&amp;R$1)</f>
        <v>0</v>
      </c>
      <c r="S40" s="9">
        <f>SUMIFS($D:$D,$B:$B,"="&amp;$H40,$A:$A,"="&amp;S$1)</f>
        <v>0</v>
      </c>
      <c r="T40" s="9">
        <f>SUMIFS($D:$D,$B:$B,"="&amp;$H40,$A:$A,"="&amp;T$1)</f>
        <v>0</v>
      </c>
      <c r="U40" s="9">
        <f>SUMIFS($D:$D,$B:$B,"="&amp;$H40,$A:$A,"="&amp;U$1)</f>
        <v>0</v>
      </c>
      <c r="V40" s="9">
        <f>SUMIFS($D:$D,$B:$B,"="&amp;$H40,$A:$A,"="&amp;V$1)</f>
        <v>0</v>
      </c>
      <c r="W40" s="9">
        <f>SUMIFS($D:$D,$B:$B,"="&amp;$H40,$A:$A,"="&amp;W$1)</f>
        <v>0</v>
      </c>
      <c r="X40" s="9">
        <f>SUMIFS($D:$D,$B:$B,"="&amp;$H40,$A:$A,"="&amp;X$1)</f>
        <v>0</v>
      </c>
      <c r="Y40" s="9">
        <f>SUMIFS($D:$D,$B:$B,"="&amp;$H40,$A:$A,"="&amp;Y$1)</f>
        <v>3</v>
      </c>
      <c r="Z40" s="9">
        <f>SUMIFS($D:$D,$B:$B,"="&amp;$H40,$A:$A,"="&amp;Z$1)</f>
        <v>3</v>
      </c>
      <c r="AA40" s="9">
        <f>SUMIFS($D:$D,$B:$B,"="&amp;$H40,$A:$A,"="&amp;AA$1)</f>
        <v>3</v>
      </c>
      <c r="AB40" s="9">
        <f>SUMIFS($D:$D,$B:$B,"="&amp;$H40,$A:$A,"="&amp;AB$1)</f>
        <v>3</v>
      </c>
      <c r="AC40" s="9">
        <f>SUMIFS($D:$D,$B:$B,"="&amp;$H40,$A:$A,"="&amp;AC$1)</f>
        <v>3</v>
      </c>
      <c r="AD40" s="9">
        <f>SUMIFS($D:$D,$B:$B,"="&amp;$H40,$A:$A,"="&amp;AD$1)</f>
        <v>3</v>
      </c>
      <c r="AE40" s="9">
        <f>SUMIFS($D:$D,$B:$B,"="&amp;$H40,$A:$A,"="&amp;AE$1)</f>
        <v>3</v>
      </c>
      <c r="AF40" s="9">
        <f>SUMIFS($D:$D,$B:$B,"="&amp;$H40,$A:$A,"="&amp;AF$1)</f>
        <v>3</v>
      </c>
      <c r="AH40" s="11">
        <f t="shared" si="3"/>
        <v>1</v>
      </c>
      <c r="AI40" s="11">
        <f t="shared" si="4"/>
        <v>22</v>
      </c>
      <c r="AJ40" s="11">
        <f t="shared" si="5"/>
        <v>0</v>
      </c>
    </row>
    <row r="41" spans="1:36" x14ac:dyDescent="0.25">
      <c r="A41" t="s">
        <v>11</v>
      </c>
      <c r="B41" t="s">
        <v>82</v>
      </c>
      <c r="C41">
        <v>4</v>
      </c>
      <c r="D41">
        <v>0</v>
      </c>
      <c r="E41">
        <v>16</v>
      </c>
      <c r="H41" t="s">
        <v>97</v>
      </c>
      <c r="I41" s="9">
        <f>SUMIFS($D:$D,$B:$B,"="&amp;$H41,$A:$A,"="&amp;I$1)</f>
        <v>0</v>
      </c>
      <c r="J41" s="9">
        <f>SUMIFS($D:$D,$B:$B,"="&amp;$H41,$A:$A,"="&amp;J$1)</f>
        <v>0</v>
      </c>
      <c r="K41" s="9">
        <f>SUMIFS($D:$D,$B:$B,"="&amp;$H41,$A:$A,"="&amp;K$1)</f>
        <v>0</v>
      </c>
      <c r="L41" s="9">
        <f>SUMIFS($D:$D,$B:$B,"="&amp;$H41,$A:$A,"="&amp;L$1)</f>
        <v>0</v>
      </c>
      <c r="M41" s="9">
        <f>SUMIFS($D:$D,$B:$B,"="&amp;$H41,$A:$A,"="&amp;M$1)</f>
        <v>0</v>
      </c>
      <c r="N41" s="9">
        <f>SUMIFS($D:$D,$B:$B,"="&amp;$H41,$A:$A,"="&amp;N$1)</f>
        <v>0</v>
      </c>
      <c r="O41" s="9">
        <f>SUMIFS($D:$D,$B:$B,"="&amp;$H41,$A:$A,"="&amp;O$1)</f>
        <v>0</v>
      </c>
      <c r="P41" s="9">
        <f>SUMIFS($D:$D,$B:$B,"="&amp;$H41,$A:$A,"="&amp;P$1)</f>
        <v>0</v>
      </c>
      <c r="Q41" s="9">
        <f>SUMIFS($D:$D,$B:$B,"="&amp;$H41,$A:$A,"="&amp;Q$1)</f>
        <v>0</v>
      </c>
      <c r="R41" s="9">
        <f>SUMIFS($D:$D,$B:$B,"="&amp;$H41,$A:$A,"="&amp;R$1)</f>
        <v>0</v>
      </c>
      <c r="S41" s="9">
        <f>SUMIFS($D:$D,$B:$B,"="&amp;$H41,$A:$A,"="&amp;S$1)</f>
        <v>0</v>
      </c>
      <c r="T41" s="9">
        <f>SUMIFS($D:$D,$B:$B,"="&amp;$H41,$A:$A,"="&amp;T$1)</f>
        <v>0</v>
      </c>
      <c r="U41" s="9">
        <f>SUMIFS($D:$D,$B:$B,"="&amp;$H41,$A:$A,"="&amp;U$1)</f>
        <v>0</v>
      </c>
      <c r="V41" s="9">
        <f>SUMIFS($D:$D,$B:$B,"="&amp;$H41,$A:$A,"="&amp;V$1)</f>
        <v>0</v>
      </c>
      <c r="W41" s="9">
        <f>SUMIFS($D:$D,$B:$B,"="&amp;$H41,$A:$A,"="&amp;W$1)</f>
        <v>0</v>
      </c>
      <c r="X41" s="9">
        <f>SUMIFS($D:$D,$B:$B,"="&amp;$H41,$A:$A,"="&amp;X$1)</f>
        <v>0</v>
      </c>
      <c r="Y41" s="9">
        <f>SUMIFS($D:$D,$B:$B,"="&amp;$H41,$A:$A,"="&amp;Y$1)</f>
        <v>31</v>
      </c>
      <c r="Z41" s="9">
        <f>SUMIFS($D:$D,$B:$B,"="&amp;$H41,$A:$A,"="&amp;Z$1)</f>
        <v>31</v>
      </c>
      <c r="AA41" s="9">
        <f>SUMIFS($D:$D,$B:$B,"="&amp;$H41,$A:$A,"="&amp;AA$1)</f>
        <v>45</v>
      </c>
      <c r="AB41" s="9">
        <f>SUMIFS($D:$D,$B:$B,"="&amp;$H41,$A:$A,"="&amp;AB$1)</f>
        <v>46</v>
      </c>
      <c r="AC41" s="9">
        <f>SUMIFS($D:$D,$B:$B,"="&amp;$H41,$A:$A,"="&amp;AC$1)</f>
        <v>46</v>
      </c>
      <c r="AD41" s="9">
        <f>SUMIFS($D:$D,$B:$B,"="&amp;$H41,$A:$A,"="&amp;AD$1)</f>
        <v>46</v>
      </c>
      <c r="AE41" s="9">
        <f>SUMIFS($D:$D,$B:$B,"="&amp;$H41,$A:$A,"="&amp;AE$1)</f>
        <v>46</v>
      </c>
      <c r="AF41" s="9">
        <f>SUMIFS($D:$D,$B:$B,"="&amp;$H41,$A:$A,"="&amp;AF$1)</f>
        <v>46</v>
      </c>
      <c r="AH41" s="11">
        <f t="shared" si="3"/>
        <v>3</v>
      </c>
      <c r="AI41" s="11">
        <f t="shared" si="4"/>
        <v>20</v>
      </c>
      <c r="AJ41" s="11">
        <f t="shared" si="5"/>
        <v>0</v>
      </c>
    </row>
    <row r="42" spans="1:36" x14ac:dyDescent="0.25">
      <c r="A42" t="s">
        <v>11</v>
      </c>
      <c r="B42" t="s">
        <v>78</v>
      </c>
      <c r="C42">
        <v>1</v>
      </c>
      <c r="D42">
        <v>1</v>
      </c>
      <c r="E42">
        <v>3</v>
      </c>
      <c r="H42" t="s">
        <v>98</v>
      </c>
      <c r="I42" s="9">
        <f>SUMIFS($D:$D,$B:$B,"="&amp;$H42,$A:$A,"="&amp;I$1)</f>
        <v>0</v>
      </c>
      <c r="J42" s="9">
        <f>SUMIFS($D:$D,$B:$B,"="&amp;$H42,$A:$A,"="&amp;J$1)</f>
        <v>0</v>
      </c>
      <c r="K42" s="9">
        <f>SUMIFS($D:$D,$B:$B,"="&amp;$H42,$A:$A,"="&amp;K$1)</f>
        <v>0</v>
      </c>
      <c r="L42" s="9">
        <f>SUMIFS($D:$D,$B:$B,"="&amp;$H42,$A:$A,"="&amp;L$1)</f>
        <v>0</v>
      </c>
      <c r="M42" s="9">
        <f>SUMIFS($D:$D,$B:$B,"="&amp;$H42,$A:$A,"="&amp;M$1)</f>
        <v>0</v>
      </c>
      <c r="N42" s="9">
        <f>SUMIFS($D:$D,$B:$B,"="&amp;$H42,$A:$A,"="&amp;N$1)</f>
        <v>0</v>
      </c>
      <c r="O42" s="9">
        <f>SUMIFS($D:$D,$B:$B,"="&amp;$H42,$A:$A,"="&amp;O$1)</f>
        <v>0</v>
      </c>
      <c r="P42" s="9">
        <f>SUMIFS($D:$D,$B:$B,"="&amp;$H42,$A:$A,"="&amp;P$1)</f>
        <v>0</v>
      </c>
      <c r="Q42" s="9">
        <f>SUMIFS($D:$D,$B:$B,"="&amp;$H42,$A:$A,"="&amp;Q$1)</f>
        <v>0</v>
      </c>
      <c r="R42" s="9">
        <f>SUMIFS($D:$D,$B:$B,"="&amp;$H42,$A:$A,"="&amp;R$1)</f>
        <v>0</v>
      </c>
      <c r="S42" s="9">
        <f>SUMIFS($D:$D,$B:$B,"="&amp;$H42,$A:$A,"="&amp;S$1)</f>
        <v>0</v>
      </c>
      <c r="T42" s="9">
        <f>SUMIFS($D:$D,$B:$B,"="&amp;$H42,$A:$A,"="&amp;T$1)</f>
        <v>0</v>
      </c>
      <c r="U42" s="9">
        <f>SUMIFS($D:$D,$B:$B,"="&amp;$H42,$A:$A,"="&amp;U$1)</f>
        <v>0</v>
      </c>
      <c r="V42" s="9">
        <f>SUMIFS($D:$D,$B:$B,"="&amp;$H42,$A:$A,"="&amp;V$1)</f>
        <v>0</v>
      </c>
      <c r="W42" s="9">
        <f>SUMIFS($D:$D,$B:$B,"="&amp;$H42,$A:$A,"="&amp;W$1)</f>
        <v>0</v>
      </c>
      <c r="X42" s="9">
        <f>SUMIFS($D:$D,$B:$B,"="&amp;$H42,$A:$A,"="&amp;X$1)</f>
        <v>0</v>
      </c>
      <c r="Y42" s="9">
        <f>SUMIFS($D:$D,$B:$B,"="&amp;$H42,$A:$A,"="&amp;Y$1)</f>
        <v>7</v>
      </c>
      <c r="Z42" s="9">
        <f>SUMIFS($D:$D,$B:$B,"="&amp;$H42,$A:$A,"="&amp;Z$1)</f>
        <v>7</v>
      </c>
      <c r="AA42" s="9">
        <f>SUMIFS($D:$D,$B:$B,"="&amp;$H42,$A:$A,"="&amp;AA$1)</f>
        <v>7</v>
      </c>
      <c r="AB42" s="9">
        <f>SUMIFS($D:$D,$B:$B,"="&amp;$H42,$A:$A,"="&amp;AB$1)</f>
        <v>7</v>
      </c>
      <c r="AC42" s="9">
        <f>SUMIFS($D:$D,$B:$B,"="&amp;$H42,$A:$A,"="&amp;AC$1)</f>
        <v>7</v>
      </c>
      <c r="AD42" s="9">
        <f>SUMIFS($D:$D,$B:$B,"="&amp;$H42,$A:$A,"="&amp;AD$1)</f>
        <v>7</v>
      </c>
      <c r="AE42" s="9">
        <f>SUMIFS($D:$D,$B:$B,"="&amp;$H42,$A:$A,"="&amp;AE$1)</f>
        <v>7</v>
      </c>
      <c r="AF42" s="9">
        <f>SUMIFS($D:$D,$B:$B,"="&amp;$H42,$A:$A,"="&amp;AF$1)</f>
        <v>7</v>
      </c>
      <c r="AH42" s="11">
        <f t="shared" si="3"/>
        <v>1</v>
      </c>
      <c r="AI42" s="11">
        <f t="shared" si="4"/>
        <v>22</v>
      </c>
      <c r="AJ42" s="11">
        <f t="shared" si="5"/>
        <v>0</v>
      </c>
    </row>
    <row r="43" spans="1:36" x14ac:dyDescent="0.25">
      <c r="A43" t="s">
        <v>11</v>
      </c>
      <c r="B43" t="s">
        <v>77</v>
      </c>
      <c r="C43">
        <v>17</v>
      </c>
      <c r="D43">
        <v>6</v>
      </c>
      <c r="E43">
        <v>7</v>
      </c>
      <c r="H43" t="s">
        <v>99</v>
      </c>
      <c r="I43" s="9">
        <f>SUMIFS($D:$D,$B:$B,"="&amp;$H43,$A:$A,"="&amp;I$1)</f>
        <v>0</v>
      </c>
      <c r="J43" s="9">
        <f>SUMIFS($D:$D,$B:$B,"="&amp;$H43,$A:$A,"="&amp;J$1)</f>
        <v>0</v>
      </c>
      <c r="K43" s="9">
        <f>SUMIFS($D:$D,$B:$B,"="&amp;$H43,$A:$A,"="&amp;K$1)</f>
        <v>0</v>
      </c>
      <c r="L43" s="9">
        <f>SUMIFS($D:$D,$B:$B,"="&amp;$H43,$A:$A,"="&amp;L$1)</f>
        <v>0</v>
      </c>
      <c r="M43" s="9">
        <f>SUMIFS($D:$D,$B:$B,"="&amp;$H43,$A:$A,"="&amp;M$1)</f>
        <v>0</v>
      </c>
      <c r="N43" s="9">
        <f>SUMIFS($D:$D,$B:$B,"="&amp;$H43,$A:$A,"="&amp;N$1)</f>
        <v>0</v>
      </c>
      <c r="O43" s="9">
        <f>SUMIFS($D:$D,$B:$B,"="&amp;$H43,$A:$A,"="&amp;O$1)</f>
        <v>0</v>
      </c>
      <c r="P43" s="9">
        <f>SUMIFS($D:$D,$B:$B,"="&amp;$H43,$A:$A,"="&amp;P$1)</f>
        <v>0</v>
      </c>
      <c r="Q43" s="9">
        <f>SUMIFS($D:$D,$B:$B,"="&amp;$H43,$A:$A,"="&amp;Q$1)</f>
        <v>0</v>
      </c>
      <c r="R43" s="9">
        <f>SUMIFS($D:$D,$B:$B,"="&amp;$H43,$A:$A,"="&amp;R$1)</f>
        <v>0</v>
      </c>
      <c r="S43" s="9">
        <f>SUMIFS($D:$D,$B:$B,"="&amp;$H43,$A:$A,"="&amp;S$1)</f>
        <v>0</v>
      </c>
      <c r="T43" s="9">
        <f>SUMIFS($D:$D,$B:$B,"="&amp;$H43,$A:$A,"="&amp;T$1)</f>
        <v>0</v>
      </c>
      <c r="U43" s="9">
        <f>SUMIFS($D:$D,$B:$B,"="&amp;$H43,$A:$A,"="&amp;U$1)</f>
        <v>0</v>
      </c>
      <c r="V43" s="9">
        <f>SUMIFS($D:$D,$B:$B,"="&amp;$H43,$A:$A,"="&amp;V$1)</f>
        <v>0</v>
      </c>
      <c r="W43" s="9">
        <f>SUMIFS($D:$D,$B:$B,"="&amp;$H43,$A:$A,"="&amp;W$1)</f>
        <v>0</v>
      </c>
      <c r="X43" s="9">
        <f>SUMIFS($D:$D,$B:$B,"="&amp;$H43,$A:$A,"="&amp;X$1)</f>
        <v>0</v>
      </c>
      <c r="Y43" s="9">
        <f>SUMIFS($D:$D,$B:$B,"="&amp;$H43,$A:$A,"="&amp;Y$1)</f>
        <v>17</v>
      </c>
      <c r="Z43" s="9">
        <f>SUMIFS($D:$D,$B:$B,"="&amp;$H43,$A:$A,"="&amp;Z$1)</f>
        <v>17</v>
      </c>
      <c r="AA43" s="9">
        <f>SUMIFS($D:$D,$B:$B,"="&amp;$H43,$A:$A,"="&amp;AA$1)</f>
        <v>19</v>
      </c>
      <c r="AB43" s="9">
        <f>SUMIFS($D:$D,$B:$B,"="&amp;$H43,$A:$A,"="&amp;AB$1)</f>
        <v>19</v>
      </c>
      <c r="AC43" s="9">
        <f>SUMIFS($D:$D,$B:$B,"="&amp;$H43,$A:$A,"="&amp;AC$1)</f>
        <v>20</v>
      </c>
      <c r="AD43" s="9">
        <f>SUMIFS($D:$D,$B:$B,"="&amp;$H43,$A:$A,"="&amp;AD$1)</f>
        <v>20</v>
      </c>
      <c r="AE43" s="9">
        <f>SUMIFS($D:$D,$B:$B,"="&amp;$H43,$A:$A,"="&amp;AE$1)</f>
        <v>20</v>
      </c>
      <c r="AF43" s="9">
        <f>SUMIFS($D:$D,$B:$B,"="&amp;$H43,$A:$A,"="&amp;AF$1)</f>
        <v>20</v>
      </c>
      <c r="AH43" s="11">
        <f t="shared" si="3"/>
        <v>3</v>
      </c>
      <c r="AI43" s="11">
        <f t="shared" si="4"/>
        <v>20</v>
      </c>
      <c r="AJ43" s="11">
        <f t="shared" si="5"/>
        <v>0</v>
      </c>
    </row>
    <row r="44" spans="1:36" x14ac:dyDescent="0.25">
      <c r="A44" t="s">
        <v>11</v>
      </c>
      <c r="B44" t="s">
        <v>64</v>
      </c>
      <c r="C44">
        <v>143</v>
      </c>
      <c r="D44">
        <v>8</v>
      </c>
      <c r="E44">
        <v>238</v>
      </c>
      <c r="H44" t="s">
        <v>100</v>
      </c>
      <c r="I44" s="9">
        <f>SUMIFS($D:$D,$B:$B,"="&amp;$H44,$A:$A,"="&amp;I$1)</f>
        <v>0</v>
      </c>
      <c r="J44" s="9">
        <f>SUMIFS($D:$D,$B:$B,"="&amp;$H44,$A:$A,"="&amp;J$1)</f>
        <v>0</v>
      </c>
      <c r="K44" s="9">
        <f>SUMIFS($D:$D,$B:$B,"="&amp;$H44,$A:$A,"="&amp;K$1)</f>
        <v>0</v>
      </c>
      <c r="L44" s="9">
        <f>SUMIFS($D:$D,$B:$B,"="&amp;$H44,$A:$A,"="&amp;L$1)</f>
        <v>0</v>
      </c>
      <c r="M44" s="9">
        <f>SUMIFS($D:$D,$B:$B,"="&amp;$H44,$A:$A,"="&amp;M$1)</f>
        <v>0</v>
      </c>
      <c r="N44" s="9">
        <f>SUMIFS($D:$D,$B:$B,"="&amp;$H44,$A:$A,"="&amp;N$1)</f>
        <v>0</v>
      </c>
      <c r="O44" s="9">
        <f>SUMIFS($D:$D,$B:$B,"="&amp;$H44,$A:$A,"="&amp;O$1)</f>
        <v>0</v>
      </c>
      <c r="P44" s="9">
        <f>SUMIFS($D:$D,$B:$B,"="&amp;$H44,$A:$A,"="&amp;P$1)</f>
        <v>0</v>
      </c>
      <c r="Q44" s="9">
        <f>SUMIFS($D:$D,$B:$B,"="&amp;$H44,$A:$A,"="&amp;Q$1)</f>
        <v>0</v>
      </c>
      <c r="R44" s="9">
        <f>SUMIFS($D:$D,$B:$B,"="&amp;$H44,$A:$A,"="&amp;R$1)</f>
        <v>0</v>
      </c>
      <c r="S44" s="9">
        <f>SUMIFS($D:$D,$B:$B,"="&amp;$H44,$A:$A,"="&amp;S$1)</f>
        <v>0</v>
      </c>
      <c r="T44" s="9">
        <f>SUMIFS($D:$D,$B:$B,"="&amp;$H44,$A:$A,"="&amp;T$1)</f>
        <v>0</v>
      </c>
      <c r="U44" s="9">
        <f>SUMIFS($D:$D,$B:$B,"="&amp;$H44,$A:$A,"="&amp;U$1)</f>
        <v>0</v>
      </c>
      <c r="V44" s="9">
        <f>SUMIFS($D:$D,$B:$B,"="&amp;$H44,$A:$A,"="&amp;V$1)</f>
        <v>0</v>
      </c>
      <c r="W44" s="9">
        <f>SUMIFS($D:$D,$B:$B,"="&amp;$H44,$A:$A,"="&amp;W$1)</f>
        <v>0</v>
      </c>
      <c r="X44" s="9">
        <f>SUMIFS($D:$D,$B:$B,"="&amp;$H44,$A:$A,"="&amp;X$1)</f>
        <v>0</v>
      </c>
      <c r="Y44" s="9">
        <f>SUMIFS($D:$D,$B:$B,"="&amp;$H44,$A:$A,"="&amp;Y$1)</f>
        <v>3</v>
      </c>
      <c r="Z44" s="9">
        <f>SUMIFS($D:$D,$B:$B,"="&amp;$H44,$A:$A,"="&amp;Z$1)</f>
        <v>3</v>
      </c>
      <c r="AA44" s="9">
        <f>SUMIFS($D:$D,$B:$B,"="&amp;$H44,$A:$A,"="&amp;AA$1)</f>
        <v>3</v>
      </c>
      <c r="AB44" s="9">
        <f>SUMIFS($D:$D,$B:$B,"="&amp;$H44,$A:$A,"="&amp;AB$1)</f>
        <v>3</v>
      </c>
      <c r="AC44" s="9">
        <f>SUMIFS($D:$D,$B:$B,"="&amp;$H44,$A:$A,"="&amp;AC$1)</f>
        <v>3</v>
      </c>
      <c r="AD44" s="9">
        <f>SUMIFS($D:$D,$B:$B,"="&amp;$H44,$A:$A,"="&amp;AD$1)</f>
        <v>3</v>
      </c>
      <c r="AE44" s="9">
        <f>SUMIFS($D:$D,$B:$B,"="&amp;$H44,$A:$A,"="&amp;AE$1)</f>
        <v>3</v>
      </c>
      <c r="AF44" s="9">
        <f>SUMIFS($D:$D,$B:$B,"="&amp;$H44,$A:$A,"="&amp;AF$1)</f>
        <v>3</v>
      </c>
      <c r="AH44" s="11">
        <f t="shared" si="3"/>
        <v>1</v>
      </c>
      <c r="AI44" s="11">
        <f t="shared" si="4"/>
        <v>22</v>
      </c>
      <c r="AJ44" s="11">
        <f t="shared" si="5"/>
        <v>0</v>
      </c>
    </row>
    <row r="45" spans="1:36" x14ac:dyDescent="0.25">
      <c r="A45" t="s">
        <v>11</v>
      </c>
      <c r="B45" t="s">
        <v>74</v>
      </c>
      <c r="C45">
        <v>73</v>
      </c>
      <c r="D45">
        <v>9</v>
      </c>
      <c r="E45">
        <v>50</v>
      </c>
      <c r="H45" t="s">
        <v>95</v>
      </c>
      <c r="I45" s="9">
        <f>SUMIFS($D:$D,$B:$B,"="&amp;$H45,$A:$A,"="&amp;I$1)</f>
        <v>0</v>
      </c>
      <c r="J45" s="9">
        <f>SUMIFS($D:$D,$B:$B,"="&amp;$H45,$A:$A,"="&amp;J$1)</f>
        <v>0</v>
      </c>
      <c r="K45" s="9">
        <f>SUMIFS($D:$D,$B:$B,"="&amp;$H45,$A:$A,"="&amp;K$1)</f>
        <v>0</v>
      </c>
      <c r="L45" s="9">
        <f>SUMIFS($D:$D,$B:$B,"="&amp;$H45,$A:$A,"="&amp;L$1)</f>
        <v>0</v>
      </c>
      <c r="M45" s="9">
        <f>SUMIFS($D:$D,$B:$B,"="&amp;$H45,$A:$A,"="&amp;M$1)</f>
        <v>0</v>
      </c>
      <c r="N45" s="9">
        <f>SUMIFS($D:$D,$B:$B,"="&amp;$H45,$A:$A,"="&amp;N$1)</f>
        <v>0</v>
      </c>
      <c r="O45" s="9">
        <f>SUMIFS($D:$D,$B:$B,"="&amp;$H45,$A:$A,"="&amp;O$1)</f>
        <v>0</v>
      </c>
      <c r="P45" s="9">
        <f>SUMIFS($D:$D,$B:$B,"="&amp;$H45,$A:$A,"="&amp;P$1)</f>
        <v>0</v>
      </c>
      <c r="Q45" s="9">
        <f>SUMIFS($D:$D,$B:$B,"="&amp;$H45,$A:$A,"="&amp;Q$1)</f>
        <v>0</v>
      </c>
      <c r="R45" s="9">
        <f>SUMIFS($D:$D,$B:$B,"="&amp;$H45,$A:$A,"="&amp;R$1)</f>
        <v>0</v>
      </c>
      <c r="S45" s="9">
        <f>SUMIFS($D:$D,$B:$B,"="&amp;$H45,$A:$A,"="&amp;S$1)</f>
        <v>0</v>
      </c>
      <c r="T45" s="9">
        <f>SUMIFS($D:$D,$B:$B,"="&amp;$H45,$A:$A,"="&amp;T$1)</f>
        <v>0</v>
      </c>
      <c r="U45" s="9">
        <f>SUMIFS($D:$D,$B:$B,"="&amp;$H45,$A:$A,"="&amp;U$1)</f>
        <v>0</v>
      </c>
      <c r="V45" s="9">
        <f>SUMIFS($D:$D,$B:$B,"="&amp;$H45,$A:$A,"="&amp;V$1)</f>
        <v>7</v>
      </c>
      <c r="W45" s="9">
        <f>SUMIFS($D:$D,$B:$B,"="&amp;$H45,$A:$A,"="&amp;W$1)</f>
        <v>7</v>
      </c>
      <c r="X45" s="9">
        <f>SUMIFS($D:$D,$B:$B,"="&amp;$H45,$A:$A,"="&amp;X$1)</f>
        <v>7</v>
      </c>
      <c r="Y45" s="9">
        <f>SUMIFS($D:$D,$B:$B,"="&amp;$H45,$A:$A,"="&amp;Y$1)</f>
        <v>7</v>
      </c>
      <c r="Z45" s="9">
        <f>SUMIFS($D:$D,$B:$B,"="&amp;$H45,$A:$A,"="&amp;Z$1)</f>
        <v>7</v>
      </c>
      <c r="AA45" s="9">
        <f>SUMIFS($D:$D,$B:$B,"="&amp;$H45,$A:$A,"="&amp;AA$1)</f>
        <v>7</v>
      </c>
      <c r="AB45" s="9">
        <f>SUMIFS($D:$D,$B:$B,"="&amp;$H45,$A:$A,"="&amp;AB$1)</f>
        <v>7</v>
      </c>
      <c r="AC45" s="9">
        <f>SUMIFS($D:$D,$B:$B,"="&amp;$H45,$A:$A,"="&amp;AC$1)</f>
        <v>7</v>
      </c>
      <c r="AD45" s="9">
        <f>SUMIFS($D:$D,$B:$B,"="&amp;$H45,$A:$A,"="&amp;AD$1)</f>
        <v>7</v>
      </c>
      <c r="AE45" s="9">
        <f>SUMIFS($D:$D,$B:$B,"="&amp;$H45,$A:$A,"="&amp;AE$1)</f>
        <v>7</v>
      </c>
      <c r="AF45" s="9">
        <f>SUMIFS($D:$D,$B:$B,"="&amp;$H45,$A:$A,"="&amp;AF$1)</f>
        <v>7</v>
      </c>
      <c r="AH45" s="11">
        <f t="shared" si="3"/>
        <v>1</v>
      </c>
      <c r="AI45" s="11">
        <f t="shared" si="4"/>
        <v>22</v>
      </c>
      <c r="AJ45" s="11">
        <f t="shared" si="5"/>
        <v>0</v>
      </c>
    </row>
    <row r="46" spans="1:36" x14ac:dyDescent="0.25">
      <c r="A46" t="s">
        <v>11</v>
      </c>
      <c r="B46" t="s">
        <v>63</v>
      </c>
      <c r="C46">
        <v>18</v>
      </c>
      <c r="D46">
        <v>55</v>
      </c>
      <c r="E46">
        <v>189</v>
      </c>
      <c r="H46" t="s">
        <v>92</v>
      </c>
      <c r="I46" s="9">
        <f>SUMIFS($D:$D,$B:$B,"="&amp;$H46,$A:$A,"="&amp;I$1)</f>
        <v>0</v>
      </c>
      <c r="J46" s="9">
        <f>SUMIFS($D:$D,$B:$B,"="&amp;$H46,$A:$A,"="&amp;J$1)</f>
        <v>0</v>
      </c>
      <c r="K46" s="9">
        <f>SUMIFS($D:$D,$B:$B,"="&amp;$H46,$A:$A,"="&amp;K$1)</f>
        <v>0</v>
      </c>
      <c r="L46" s="9">
        <f>SUMIFS($D:$D,$B:$B,"="&amp;$H46,$A:$A,"="&amp;L$1)</f>
        <v>0</v>
      </c>
      <c r="M46" s="9">
        <f>SUMIFS($D:$D,$B:$B,"="&amp;$H46,$A:$A,"="&amp;M$1)</f>
        <v>0</v>
      </c>
      <c r="N46" s="9">
        <f>SUMIFS($D:$D,$B:$B,"="&amp;$H46,$A:$A,"="&amp;N$1)</f>
        <v>0</v>
      </c>
      <c r="O46" s="9">
        <f>SUMIFS($D:$D,$B:$B,"="&amp;$H46,$A:$A,"="&amp;O$1)</f>
        <v>0</v>
      </c>
      <c r="P46" s="9">
        <f>SUMIFS($D:$D,$B:$B,"="&amp;$H46,$A:$A,"="&amp;P$1)</f>
        <v>0</v>
      </c>
      <c r="Q46" s="9">
        <f>SUMIFS($D:$D,$B:$B,"="&amp;$H46,$A:$A,"="&amp;Q$1)</f>
        <v>0</v>
      </c>
      <c r="R46" s="9">
        <f>SUMIFS($D:$D,$B:$B,"="&amp;$H46,$A:$A,"="&amp;R$1)</f>
        <v>0</v>
      </c>
      <c r="S46" s="9">
        <f>SUMIFS($D:$D,$B:$B,"="&amp;$H46,$A:$A,"="&amp;S$1)</f>
        <v>5</v>
      </c>
      <c r="T46" s="9">
        <f>SUMIFS($D:$D,$B:$B,"="&amp;$H46,$A:$A,"="&amp;T$1)</f>
        <v>5</v>
      </c>
      <c r="U46" s="9">
        <f>SUMIFS($D:$D,$B:$B,"="&amp;$H46,$A:$A,"="&amp;U$1)</f>
        <v>5</v>
      </c>
      <c r="V46" s="9">
        <f>SUMIFS($D:$D,$B:$B,"="&amp;$H46,$A:$A,"="&amp;V$1)</f>
        <v>5</v>
      </c>
      <c r="W46" s="9">
        <f>SUMIFS($D:$D,$B:$B,"="&amp;$H46,$A:$A,"="&amp;W$1)</f>
        <v>5</v>
      </c>
      <c r="X46" s="9">
        <f>SUMIFS($D:$D,$B:$B,"="&amp;$H46,$A:$A,"="&amp;X$1)</f>
        <v>5</v>
      </c>
      <c r="Y46" s="9">
        <f>SUMIFS($D:$D,$B:$B,"="&amp;$H46,$A:$A,"="&amp;Y$1)</f>
        <v>1</v>
      </c>
      <c r="Z46" s="9">
        <f>SUMIFS($D:$D,$B:$B,"="&amp;$H46,$A:$A,"="&amp;Z$1)</f>
        <v>1</v>
      </c>
      <c r="AA46" s="9">
        <f>SUMIFS($D:$D,$B:$B,"="&amp;$H46,$A:$A,"="&amp;AA$1)</f>
        <v>1</v>
      </c>
      <c r="AB46" s="9">
        <f>SUMIFS($D:$D,$B:$B,"="&amp;$H46,$A:$A,"="&amp;AB$1)</f>
        <v>1</v>
      </c>
      <c r="AC46" s="9">
        <f>SUMIFS($D:$D,$B:$B,"="&amp;$H46,$A:$A,"="&amp;AC$1)</f>
        <v>3</v>
      </c>
      <c r="AD46" s="9">
        <f>SUMIFS($D:$D,$B:$B,"="&amp;$H46,$A:$A,"="&amp;AD$1)</f>
        <v>3</v>
      </c>
      <c r="AE46" s="9">
        <f>SUMIFS($D:$D,$B:$B,"="&amp;$H46,$A:$A,"="&amp;AE$1)</f>
        <v>3</v>
      </c>
      <c r="AF46" s="9">
        <f>SUMIFS($D:$D,$B:$B,"="&amp;$H46,$A:$A,"="&amp;AF$1)</f>
        <v>3</v>
      </c>
      <c r="AH46" s="11">
        <f t="shared" si="3"/>
        <v>2</v>
      </c>
      <c r="AI46" s="11">
        <f t="shared" si="4"/>
        <v>20</v>
      </c>
      <c r="AJ46" s="11">
        <f t="shared" si="5"/>
        <v>1</v>
      </c>
    </row>
    <row r="47" spans="1:36" x14ac:dyDescent="0.25">
      <c r="A47" t="s">
        <v>11</v>
      </c>
      <c r="B47" t="s">
        <v>80</v>
      </c>
      <c r="C47">
        <v>3</v>
      </c>
      <c r="D47">
        <v>6</v>
      </c>
      <c r="E47">
        <v>18</v>
      </c>
      <c r="H47" t="s">
        <v>94</v>
      </c>
      <c r="I47" s="9">
        <f>SUMIFS($D:$D,$B:$B,"="&amp;$H47,$A:$A,"="&amp;I$1)</f>
        <v>0</v>
      </c>
      <c r="J47" s="9">
        <f>SUMIFS($D:$D,$B:$B,"="&amp;$H47,$A:$A,"="&amp;J$1)</f>
        <v>0</v>
      </c>
      <c r="K47" s="9">
        <f>SUMIFS($D:$D,$B:$B,"="&amp;$H47,$A:$A,"="&amp;K$1)</f>
        <v>0</v>
      </c>
      <c r="L47" s="9">
        <f>SUMIFS($D:$D,$B:$B,"="&amp;$H47,$A:$A,"="&amp;L$1)</f>
        <v>0</v>
      </c>
      <c r="M47" s="9">
        <f>SUMIFS($D:$D,$B:$B,"="&amp;$H47,$A:$A,"="&amp;M$1)</f>
        <v>0</v>
      </c>
      <c r="N47" s="9">
        <f>SUMIFS($D:$D,$B:$B,"="&amp;$H47,$A:$A,"="&amp;N$1)</f>
        <v>0</v>
      </c>
      <c r="O47" s="9">
        <f>SUMIFS($D:$D,$B:$B,"="&amp;$H47,$A:$A,"="&amp;O$1)</f>
        <v>0</v>
      </c>
      <c r="P47" s="9">
        <f>SUMIFS($D:$D,$B:$B,"="&amp;$H47,$A:$A,"="&amp;P$1)</f>
        <v>0</v>
      </c>
      <c r="Q47" s="9">
        <f>SUMIFS($D:$D,$B:$B,"="&amp;$H47,$A:$A,"="&amp;Q$1)</f>
        <v>0</v>
      </c>
      <c r="R47" s="9">
        <f>SUMIFS($D:$D,$B:$B,"="&amp;$H47,$A:$A,"="&amp;R$1)</f>
        <v>0</v>
      </c>
      <c r="S47" s="9">
        <f>SUMIFS($D:$D,$B:$B,"="&amp;$H47,$A:$A,"="&amp;S$1)</f>
        <v>8</v>
      </c>
      <c r="T47" s="9">
        <f>SUMIFS($D:$D,$B:$B,"="&amp;$H47,$A:$A,"="&amp;T$1)</f>
        <v>8</v>
      </c>
      <c r="U47" s="9">
        <f>SUMIFS($D:$D,$B:$B,"="&amp;$H47,$A:$A,"="&amp;U$1)</f>
        <v>6</v>
      </c>
      <c r="V47" s="9">
        <f>SUMIFS($D:$D,$B:$B,"="&amp;$H47,$A:$A,"="&amp;V$1)</f>
        <v>6</v>
      </c>
      <c r="W47" s="9">
        <f>SUMIFS($D:$D,$B:$B,"="&amp;$H47,$A:$A,"="&amp;W$1)</f>
        <v>6</v>
      </c>
      <c r="X47" s="9">
        <f>SUMIFS($D:$D,$B:$B,"="&amp;$H47,$A:$A,"="&amp;X$1)</f>
        <v>6</v>
      </c>
      <c r="Y47" s="9">
        <f>SUMIFS($D:$D,$B:$B,"="&amp;$H47,$A:$A,"="&amp;Y$1)</f>
        <v>15</v>
      </c>
      <c r="Z47" s="9">
        <f>SUMIFS($D:$D,$B:$B,"="&amp;$H47,$A:$A,"="&amp;Z$1)</f>
        <v>15</v>
      </c>
      <c r="AA47" s="9">
        <f>SUMIFS($D:$D,$B:$B,"="&amp;$H47,$A:$A,"="&amp;AA$1)</f>
        <v>15</v>
      </c>
      <c r="AB47" s="9">
        <f>SUMIFS($D:$D,$B:$B,"="&amp;$H47,$A:$A,"="&amp;AB$1)</f>
        <v>15</v>
      </c>
      <c r="AC47" s="9">
        <f>SUMIFS($D:$D,$B:$B,"="&amp;$H47,$A:$A,"="&amp;AC$1)</f>
        <v>15</v>
      </c>
      <c r="AD47" s="9">
        <f>SUMIFS($D:$D,$B:$B,"="&amp;$H47,$A:$A,"="&amp;AD$1)</f>
        <v>15</v>
      </c>
      <c r="AE47" s="9">
        <f>SUMIFS($D:$D,$B:$B,"="&amp;$H47,$A:$A,"="&amp;AE$1)</f>
        <v>15</v>
      </c>
      <c r="AF47" s="9">
        <f>SUMIFS($D:$D,$B:$B,"="&amp;$H47,$A:$A,"="&amp;AF$1)</f>
        <v>15</v>
      </c>
      <c r="AH47" s="11">
        <f t="shared" si="3"/>
        <v>2</v>
      </c>
      <c r="AI47" s="11">
        <f t="shared" si="4"/>
        <v>20</v>
      </c>
      <c r="AJ47" s="11">
        <f t="shared" si="5"/>
        <v>1</v>
      </c>
    </row>
    <row r="48" spans="1:36" x14ac:dyDescent="0.25">
      <c r="A48" t="s">
        <v>11</v>
      </c>
      <c r="B48" t="s">
        <v>81</v>
      </c>
      <c r="C48">
        <v>1</v>
      </c>
      <c r="D48">
        <v>12</v>
      </c>
      <c r="E48">
        <v>10</v>
      </c>
      <c r="H48" t="s">
        <v>83</v>
      </c>
      <c r="I48" s="9">
        <f>SUMIFS($D:$D,$B:$B,"="&amp;$H48,$A:$A,"="&amp;I$1)</f>
        <v>0</v>
      </c>
      <c r="J48" s="9">
        <f>SUMIFS($D:$D,$B:$B,"="&amp;$H48,$A:$A,"="&amp;J$1)</f>
        <v>0</v>
      </c>
      <c r="K48" s="9">
        <f>SUMIFS($D:$D,$B:$B,"="&amp;$H48,$A:$A,"="&amp;K$1)</f>
        <v>0</v>
      </c>
      <c r="L48" s="9">
        <f>SUMIFS($D:$D,$B:$B,"="&amp;$H48,$A:$A,"="&amp;L$1)</f>
        <v>0</v>
      </c>
      <c r="M48" s="9">
        <f>SUMIFS($D:$D,$B:$B,"="&amp;$H48,$A:$A,"="&amp;M$1)</f>
        <v>0</v>
      </c>
      <c r="N48" s="9">
        <f>SUMIFS($D:$D,$B:$B,"="&amp;$H48,$A:$A,"="&amp;N$1)</f>
        <v>8</v>
      </c>
      <c r="O48" s="9">
        <f>SUMIFS($D:$D,$B:$B,"="&amp;$H48,$A:$A,"="&amp;O$1)</f>
        <v>8</v>
      </c>
      <c r="P48" s="9">
        <f>SUMIFS($D:$D,$B:$B,"="&amp;$H48,$A:$A,"="&amp;P$1)</f>
        <v>9</v>
      </c>
      <c r="Q48" s="9">
        <f>SUMIFS($D:$D,$B:$B,"="&amp;$H48,$A:$A,"="&amp;Q$1)</f>
        <v>9</v>
      </c>
      <c r="R48" s="9">
        <f>SUMIFS($D:$D,$B:$B,"="&amp;$H48,$A:$A,"="&amp;R$1)</f>
        <v>9</v>
      </c>
      <c r="S48" s="9">
        <f>SUMIFS($D:$D,$B:$B,"="&amp;$H48,$A:$A,"="&amp;S$1)</f>
        <v>13</v>
      </c>
      <c r="T48" s="9">
        <f>SUMIFS($D:$D,$B:$B,"="&amp;$H48,$A:$A,"="&amp;T$1)</f>
        <v>13</v>
      </c>
      <c r="U48" s="9">
        <f>SUMIFS($D:$D,$B:$B,"="&amp;$H48,$A:$A,"="&amp;U$1)</f>
        <v>13</v>
      </c>
      <c r="V48" s="9">
        <f>SUMIFS($D:$D,$B:$B,"="&amp;$H48,$A:$A,"="&amp;V$1)</f>
        <v>13</v>
      </c>
      <c r="W48" s="9">
        <f>SUMIFS($D:$D,$B:$B,"="&amp;$H48,$A:$A,"="&amp;W$1)</f>
        <v>13</v>
      </c>
      <c r="X48" s="9">
        <f>SUMIFS($D:$D,$B:$B,"="&amp;$H48,$A:$A,"="&amp;X$1)</f>
        <v>13</v>
      </c>
      <c r="Y48" s="9">
        <f>SUMIFS($D:$D,$B:$B,"="&amp;$H48,$A:$A,"="&amp;Y$1)</f>
        <v>17</v>
      </c>
      <c r="Z48" s="9">
        <f>SUMIFS($D:$D,$B:$B,"="&amp;$H48,$A:$A,"="&amp;Z$1)</f>
        <v>17</v>
      </c>
      <c r="AA48" s="9">
        <f>SUMIFS($D:$D,$B:$B,"="&amp;$H48,$A:$A,"="&amp;AA$1)</f>
        <v>19</v>
      </c>
      <c r="AB48" s="9">
        <f>SUMIFS($D:$D,$B:$B,"="&amp;$H48,$A:$A,"="&amp;AB$1)</f>
        <v>19</v>
      </c>
      <c r="AC48" s="9">
        <f>SUMIFS($D:$D,$B:$B,"="&amp;$H48,$A:$A,"="&amp;AC$1)</f>
        <v>20</v>
      </c>
      <c r="AD48" s="9">
        <f>SUMIFS($D:$D,$B:$B,"="&amp;$H48,$A:$A,"="&amp;AD$1)</f>
        <v>25</v>
      </c>
      <c r="AE48" s="9">
        <f>SUMIFS($D:$D,$B:$B,"="&amp;$H48,$A:$A,"="&amp;AE$1)</f>
        <v>25</v>
      </c>
      <c r="AF48" s="9">
        <f>SUMIFS($D:$D,$B:$B,"="&amp;$H48,$A:$A,"="&amp;AF$1)</f>
        <v>25</v>
      </c>
      <c r="AH48" s="11">
        <f t="shared" si="3"/>
        <v>7</v>
      </c>
      <c r="AI48" s="11">
        <f t="shared" si="4"/>
        <v>16</v>
      </c>
      <c r="AJ48" s="11">
        <f t="shared" si="5"/>
        <v>0</v>
      </c>
    </row>
    <row r="49" spans="1:36" x14ac:dyDescent="0.25">
      <c r="A49" t="s">
        <v>11</v>
      </c>
      <c r="B49" t="s">
        <v>76</v>
      </c>
      <c r="C49">
        <v>1</v>
      </c>
      <c r="D49">
        <v>14</v>
      </c>
      <c r="E49">
        <v>18</v>
      </c>
      <c r="H49" t="s">
        <v>84</v>
      </c>
      <c r="I49" s="9">
        <f>SUMIFS($D:$D,$B:$B,"="&amp;$H49,$A:$A,"="&amp;I$1)</f>
        <v>0</v>
      </c>
      <c r="J49" s="9">
        <f>SUMIFS($D:$D,$B:$B,"="&amp;$H49,$A:$A,"="&amp;J$1)</f>
        <v>0</v>
      </c>
      <c r="K49" s="9">
        <f>SUMIFS($D:$D,$B:$B,"="&amp;$H49,$A:$A,"="&amp;K$1)</f>
        <v>0</v>
      </c>
      <c r="L49" s="9">
        <f>SUMIFS($D:$D,$B:$B,"="&amp;$H49,$A:$A,"="&amp;L$1)</f>
        <v>0</v>
      </c>
      <c r="M49" s="9">
        <f>SUMIFS($D:$D,$B:$B,"="&amp;$H49,$A:$A,"="&amp;M$1)</f>
        <v>0</v>
      </c>
      <c r="N49" s="9">
        <f>SUMIFS($D:$D,$B:$B,"="&amp;$H49,$A:$A,"="&amp;N$1)</f>
        <v>12</v>
      </c>
      <c r="O49" s="9">
        <f>SUMIFS($D:$D,$B:$B,"="&amp;$H49,$A:$A,"="&amp;O$1)</f>
        <v>12</v>
      </c>
      <c r="P49" s="9">
        <f>SUMIFS($D:$D,$B:$B,"="&amp;$H49,$A:$A,"="&amp;P$1)</f>
        <v>12</v>
      </c>
      <c r="Q49" s="9">
        <f>SUMIFS($D:$D,$B:$B,"="&amp;$H49,$A:$A,"="&amp;Q$1)</f>
        <v>12</v>
      </c>
      <c r="R49" s="9">
        <f>SUMIFS($D:$D,$B:$B,"="&amp;$H49,$A:$A,"="&amp;R$1)</f>
        <v>12</v>
      </c>
      <c r="S49" s="9">
        <f>SUMIFS($D:$D,$B:$B,"="&amp;$H49,$A:$A,"="&amp;S$1)</f>
        <v>12</v>
      </c>
      <c r="T49" s="9">
        <f>SUMIFS($D:$D,$B:$B,"="&amp;$H49,$A:$A,"="&amp;T$1)</f>
        <v>12</v>
      </c>
      <c r="U49" s="9">
        <f>SUMIFS($D:$D,$B:$B,"="&amp;$H49,$A:$A,"="&amp;U$1)</f>
        <v>11</v>
      </c>
      <c r="V49" s="9">
        <f>SUMIFS($D:$D,$B:$B,"="&amp;$H49,$A:$A,"="&amp;V$1)</f>
        <v>11</v>
      </c>
      <c r="W49" s="9">
        <f>SUMIFS($D:$D,$B:$B,"="&amp;$H49,$A:$A,"="&amp;W$1)</f>
        <v>11</v>
      </c>
      <c r="X49" s="9">
        <f>SUMIFS($D:$D,$B:$B,"="&amp;$H49,$A:$A,"="&amp;X$1)</f>
        <v>11</v>
      </c>
      <c r="Y49" s="9">
        <f>SUMIFS($D:$D,$B:$B,"="&amp;$H49,$A:$A,"="&amp;Y$1)</f>
        <v>11</v>
      </c>
      <c r="Z49" s="9">
        <f>SUMIFS($D:$D,$B:$B,"="&amp;$H49,$A:$A,"="&amp;Z$1)</f>
        <v>11</v>
      </c>
      <c r="AA49" s="9">
        <f>SUMIFS($D:$D,$B:$B,"="&amp;$H49,$A:$A,"="&amp;AA$1)</f>
        <v>11</v>
      </c>
      <c r="AB49" s="9">
        <f>SUMIFS($D:$D,$B:$B,"="&amp;$H49,$A:$A,"="&amp;AB$1)</f>
        <v>11</v>
      </c>
      <c r="AC49" s="9">
        <f>SUMIFS($D:$D,$B:$B,"="&amp;$H49,$A:$A,"="&amp;AC$1)</f>
        <v>11</v>
      </c>
      <c r="AD49" s="9">
        <f>SUMIFS($D:$D,$B:$B,"="&amp;$H49,$A:$A,"="&amp;AD$1)</f>
        <v>11</v>
      </c>
      <c r="AE49" s="9">
        <f>SUMIFS($D:$D,$B:$B,"="&amp;$H49,$A:$A,"="&amp;AE$1)</f>
        <v>11</v>
      </c>
      <c r="AF49" s="9">
        <f>SUMIFS($D:$D,$B:$B,"="&amp;$H49,$A:$A,"="&amp;AF$1)</f>
        <v>11</v>
      </c>
      <c r="AH49" s="11">
        <f t="shared" si="3"/>
        <v>1</v>
      </c>
      <c r="AI49" s="11">
        <f t="shared" si="4"/>
        <v>21</v>
      </c>
      <c r="AJ49" s="11">
        <f t="shared" si="5"/>
        <v>1</v>
      </c>
    </row>
    <row r="50" spans="1:36" x14ac:dyDescent="0.25">
      <c r="A50" t="s">
        <v>11</v>
      </c>
      <c r="B50" t="s">
        <v>79</v>
      </c>
      <c r="C50">
        <v>0</v>
      </c>
      <c r="D50">
        <v>5</v>
      </c>
      <c r="E50">
        <v>0</v>
      </c>
      <c r="H50" t="s">
        <v>85</v>
      </c>
      <c r="I50" s="9">
        <f>SUMIFS($D:$D,$B:$B,"="&amp;$H50,$A:$A,"="&amp;I$1)</f>
        <v>0</v>
      </c>
      <c r="J50" s="9">
        <f>SUMIFS($D:$D,$B:$B,"="&amp;$H50,$A:$A,"="&amp;J$1)</f>
        <v>0</v>
      </c>
      <c r="K50" s="9">
        <f>SUMIFS($D:$D,$B:$B,"="&amp;$H50,$A:$A,"="&amp;K$1)</f>
        <v>0</v>
      </c>
      <c r="L50" s="9">
        <f>SUMIFS($D:$D,$B:$B,"="&amp;$H50,$A:$A,"="&amp;L$1)</f>
        <v>0</v>
      </c>
      <c r="M50" s="9">
        <f>SUMIFS($D:$D,$B:$B,"="&amp;$H50,$A:$A,"="&amp;M$1)</f>
        <v>0</v>
      </c>
      <c r="N50" s="9">
        <f>SUMIFS($D:$D,$B:$B,"="&amp;$H50,$A:$A,"="&amp;N$1)</f>
        <v>13</v>
      </c>
      <c r="O50" s="9">
        <f>SUMIFS($D:$D,$B:$B,"="&amp;$H50,$A:$A,"="&amp;O$1)</f>
        <v>13</v>
      </c>
      <c r="P50" s="9">
        <f>SUMIFS($D:$D,$B:$B,"="&amp;$H50,$A:$A,"="&amp;P$1)</f>
        <v>13</v>
      </c>
      <c r="Q50" s="9">
        <f>SUMIFS($D:$D,$B:$B,"="&amp;$H50,$A:$A,"="&amp;Q$1)</f>
        <v>13</v>
      </c>
      <c r="R50" s="9">
        <f>SUMIFS($D:$D,$B:$B,"="&amp;$H50,$A:$A,"="&amp;R$1)</f>
        <v>13</v>
      </c>
      <c r="S50" s="9">
        <f>SUMIFS($D:$D,$B:$B,"="&amp;$H50,$A:$A,"="&amp;S$1)</f>
        <v>14</v>
      </c>
      <c r="T50" s="9">
        <f>SUMIFS($D:$D,$B:$B,"="&amp;$H50,$A:$A,"="&amp;T$1)</f>
        <v>14</v>
      </c>
      <c r="U50" s="9">
        <f>SUMIFS($D:$D,$B:$B,"="&amp;$H50,$A:$A,"="&amp;U$1)</f>
        <v>13</v>
      </c>
      <c r="V50" s="9">
        <f>SUMIFS($D:$D,$B:$B,"="&amp;$H50,$A:$A,"="&amp;V$1)</f>
        <v>14</v>
      </c>
      <c r="W50" s="9">
        <f>SUMIFS($D:$D,$B:$B,"="&amp;$H50,$A:$A,"="&amp;W$1)</f>
        <v>14</v>
      </c>
      <c r="X50" s="9">
        <f>SUMIFS($D:$D,$B:$B,"="&amp;$H50,$A:$A,"="&amp;X$1)</f>
        <v>14</v>
      </c>
      <c r="Y50" s="9">
        <f>SUMIFS($D:$D,$B:$B,"="&amp;$H50,$A:$A,"="&amp;Y$1)</f>
        <v>14</v>
      </c>
      <c r="Z50" s="9">
        <f>SUMIFS($D:$D,$B:$B,"="&amp;$H50,$A:$A,"="&amp;Z$1)</f>
        <v>15</v>
      </c>
      <c r="AA50" s="9">
        <f>SUMIFS($D:$D,$B:$B,"="&amp;$H50,$A:$A,"="&amp;AA$1)</f>
        <v>20</v>
      </c>
      <c r="AB50" s="9">
        <f>SUMIFS($D:$D,$B:$B,"="&amp;$H50,$A:$A,"="&amp;AB$1)</f>
        <v>20</v>
      </c>
      <c r="AC50" s="9">
        <f>SUMIFS($D:$D,$B:$B,"="&amp;$H50,$A:$A,"="&amp;AC$1)</f>
        <v>21</v>
      </c>
      <c r="AD50" s="9">
        <f>SUMIFS($D:$D,$B:$B,"="&amp;$H50,$A:$A,"="&amp;AD$1)</f>
        <v>21</v>
      </c>
      <c r="AE50" s="9">
        <f>SUMIFS($D:$D,$B:$B,"="&amp;$H50,$A:$A,"="&amp;AE$1)</f>
        <v>21</v>
      </c>
      <c r="AF50" s="9">
        <f>SUMIFS($D:$D,$B:$B,"="&amp;$H50,$A:$A,"="&amp;AF$1)</f>
        <v>21</v>
      </c>
      <c r="AH50" s="11">
        <f t="shared" si="3"/>
        <v>6</v>
      </c>
      <c r="AI50" s="11">
        <f t="shared" si="4"/>
        <v>16</v>
      </c>
      <c r="AJ50" s="11">
        <f t="shared" si="5"/>
        <v>1</v>
      </c>
    </row>
    <row r="51" spans="1:36" x14ac:dyDescent="0.25">
      <c r="A51" t="s">
        <v>11</v>
      </c>
      <c r="B51" t="s">
        <v>75</v>
      </c>
      <c r="C51">
        <v>1</v>
      </c>
      <c r="D51">
        <v>0</v>
      </c>
      <c r="E51">
        <v>2</v>
      </c>
      <c r="H51" t="s">
        <v>86</v>
      </c>
      <c r="I51" s="9">
        <f>SUMIFS($D:$D,$B:$B,"="&amp;$H51,$A:$A,"="&amp;I$1)</f>
        <v>0</v>
      </c>
      <c r="J51" s="9">
        <f>SUMIFS($D:$D,$B:$B,"="&amp;$H51,$A:$A,"="&amp;J$1)</f>
        <v>0</v>
      </c>
      <c r="K51" s="9">
        <f>SUMIFS($D:$D,$B:$B,"="&amp;$H51,$A:$A,"="&amp;K$1)</f>
        <v>0</v>
      </c>
      <c r="L51" s="9">
        <f>SUMIFS($D:$D,$B:$B,"="&amp;$H51,$A:$A,"="&amp;L$1)</f>
        <v>0</v>
      </c>
      <c r="M51" s="9">
        <f>SUMIFS($D:$D,$B:$B,"="&amp;$H51,$A:$A,"="&amp;M$1)</f>
        <v>0</v>
      </c>
      <c r="N51" s="9">
        <f>SUMIFS($D:$D,$B:$B,"="&amp;$H51,$A:$A,"="&amp;N$1)</f>
        <v>1</v>
      </c>
      <c r="O51" s="9">
        <f>SUMIFS($D:$D,$B:$B,"="&amp;$H51,$A:$A,"="&amp;O$1)</f>
        <v>1</v>
      </c>
      <c r="P51" s="9">
        <f>SUMIFS($D:$D,$B:$B,"="&amp;$H51,$A:$A,"="&amp;P$1)</f>
        <v>1</v>
      </c>
      <c r="Q51" s="9">
        <f>SUMIFS($D:$D,$B:$B,"="&amp;$H51,$A:$A,"="&amp;Q$1)</f>
        <v>1</v>
      </c>
      <c r="R51" s="9">
        <f>SUMIFS($D:$D,$B:$B,"="&amp;$H51,$A:$A,"="&amp;R$1)</f>
        <v>1</v>
      </c>
      <c r="S51" s="9">
        <f>SUMIFS($D:$D,$B:$B,"="&amp;$H51,$A:$A,"="&amp;S$1)</f>
        <v>2</v>
      </c>
      <c r="T51" s="9">
        <f>SUMIFS($D:$D,$B:$B,"="&amp;$H51,$A:$A,"="&amp;T$1)</f>
        <v>2</v>
      </c>
      <c r="U51" s="9">
        <f>SUMIFS($D:$D,$B:$B,"="&amp;$H51,$A:$A,"="&amp;U$1)</f>
        <v>2</v>
      </c>
      <c r="V51" s="9">
        <f>SUMIFS($D:$D,$B:$B,"="&amp;$H51,$A:$A,"="&amp;V$1)</f>
        <v>2</v>
      </c>
      <c r="W51" s="9">
        <f>SUMIFS($D:$D,$B:$B,"="&amp;$H51,$A:$A,"="&amp;W$1)</f>
        <v>2</v>
      </c>
      <c r="X51" s="9">
        <f>SUMIFS($D:$D,$B:$B,"="&amp;$H51,$A:$A,"="&amp;X$1)</f>
        <v>2</v>
      </c>
      <c r="Y51" s="9">
        <f>SUMIFS($D:$D,$B:$B,"="&amp;$H51,$A:$A,"="&amp;Y$1)</f>
        <v>3</v>
      </c>
      <c r="Z51" s="9">
        <f>SUMIFS($D:$D,$B:$B,"="&amp;$H51,$A:$A,"="&amp;Z$1)</f>
        <v>4</v>
      </c>
      <c r="AA51" s="9">
        <f>SUMIFS($D:$D,$B:$B,"="&amp;$H51,$A:$A,"="&amp;AA$1)</f>
        <v>4</v>
      </c>
      <c r="AB51" s="9">
        <f>SUMIFS($D:$D,$B:$B,"="&amp;$H51,$A:$A,"="&amp;AB$1)</f>
        <v>4</v>
      </c>
      <c r="AC51" s="9">
        <f>SUMIFS($D:$D,$B:$B,"="&amp;$H51,$A:$A,"="&amp;AC$1)</f>
        <v>4</v>
      </c>
      <c r="AD51" s="9">
        <f>SUMIFS($D:$D,$B:$B,"="&amp;$H51,$A:$A,"="&amp;AD$1)</f>
        <v>5</v>
      </c>
      <c r="AE51" s="9">
        <f>SUMIFS($D:$D,$B:$B,"="&amp;$H51,$A:$A,"="&amp;AE$1)</f>
        <v>5</v>
      </c>
      <c r="AF51" s="9">
        <f>SUMIFS($D:$D,$B:$B,"="&amp;$H51,$A:$A,"="&amp;AF$1)</f>
        <v>5</v>
      </c>
      <c r="AH51" s="11">
        <f t="shared" si="3"/>
        <v>5</v>
      </c>
      <c r="AI51" s="11">
        <f t="shared" si="4"/>
        <v>18</v>
      </c>
      <c r="AJ51" s="11">
        <f t="shared" si="5"/>
        <v>0</v>
      </c>
    </row>
    <row r="52" spans="1:36" x14ac:dyDescent="0.25">
      <c r="A52" t="s">
        <v>11</v>
      </c>
      <c r="B52" t="s">
        <v>66</v>
      </c>
      <c r="C52">
        <v>0</v>
      </c>
      <c r="D52">
        <v>1</v>
      </c>
      <c r="E52">
        <v>0</v>
      </c>
      <c r="H52" t="s">
        <v>87</v>
      </c>
      <c r="I52" s="9">
        <f>SUMIFS($D:$D,$B:$B,"="&amp;$H52,$A:$A,"="&amp;I$1)</f>
        <v>0</v>
      </c>
      <c r="J52" s="9">
        <f>SUMIFS($D:$D,$B:$B,"="&amp;$H52,$A:$A,"="&amp;J$1)</f>
        <v>0</v>
      </c>
      <c r="K52" s="9">
        <f>SUMIFS($D:$D,$B:$B,"="&amp;$H52,$A:$A,"="&amp;K$1)</f>
        <v>0</v>
      </c>
      <c r="L52" s="9">
        <f>SUMIFS($D:$D,$B:$B,"="&amp;$H52,$A:$A,"="&amp;L$1)</f>
        <v>0</v>
      </c>
      <c r="M52" s="9">
        <f>SUMIFS($D:$D,$B:$B,"="&amp;$H52,$A:$A,"="&amp;M$1)</f>
        <v>0</v>
      </c>
      <c r="N52" s="9">
        <f>SUMIFS($D:$D,$B:$B,"="&amp;$H52,$A:$A,"="&amp;N$1)</f>
        <v>16</v>
      </c>
      <c r="O52" s="9">
        <f>SUMIFS($D:$D,$B:$B,"="&amp;$H52,$A:$A,"="&amp;O$1)</f>
        <v>16</v>
      </c>
      <c r="P52" s="9">
        <f>SUMIFS($D:$D,$B:$B,"="&amp;$H52,$A:$A,"="&amp;P$1)</f>
        <v>15</v>
      </c>
      <c r="Q52" s="9">
        <f>SUMIFS($D:$D,$B:$B,"="&amp;$H52,$A:$A,"="&amp;Q$1)</f>
        <v>15</v>
      </c>
      <c r="R52" s="9">
        <f>SUMIFS($D:$D,$B:$B,"="&amp;$H52,$A:$A,"="&amp;R$1)</f>
        <v>15</v>
      </c>
      <c r="S52" s="9">
        <f>SUMIFS($D:$D,$B:$B,"="&amp;$H52,$A:$A,"="&amp;S$1)</f>
        <v>15</v>
      </c>
      <c r="T52" s="9">
        <f>SUMIFS($D:$D,$B:$B,"="&amp;$H52,$A:$A,"="&amp;T$1)</f>
        <v>12</v>
      </c>
      <c r="U52" s="9">
        <f>SUMIFS($D:$D,$B:$B,"="&amp;$H52,$A:$A,"="&amp;U$1)</f>
        <v>10</v>
      </c>
      <c r="V52" s="9">
        <f>SUMIFS($D:$D,$B:$B,"="&amp;$H52,$A:$A,"="&amp;V$1)</f>
        <v>12</v>
      </c>
      <c r="W52" s="9">
        <f>SUMIFS($D:$D,$B:$B,"="&amp;$H52,$A:$A,"="&amp;W$1)</f>
        <v>12</v>
      </c>
      <c r="X52" s="9">
        <f>SUMIFS($D:$D,$B:$B,"="&amp;$H52,$A:$A,"="&amp;X$1)</f>
        <v>12</v>
      </c>
      <c r="Y52" s="9">
        <f>SUMIFS($D:$D,$B:$B,"="&amp;$H52,$A:$A,"="&amp;Y$1)</f>
        <v>11</v>
      </c>
      <c r="Z52" s="9">
        <f>SUMIFS($D:$D,$B:$B,"="&amp;$H52,$A:$A,"="&amp;Z$1)</f>
        <v>11</v>
      </c>
      <c r="AA52" s="9">
        <f>SUMIFS($D:$D,$B:$B,"="&amp;$H52,$A:$A,"="&amp;AA$1)</f>
        <v>13</v>
      </c>
      <c r="AB52" s="9">
        <f>SUMIFS($D:$D,$B:$B,"="&amp;$H52,$A:$A,"="&amp;AB$1)</f>
        <v>13</v>
      </c>
      <c r="AC52" s="9">
        <f>SUMIFS($D:$D,$B:$B,"="&amp;$H52,$A:$A,"="&amp;AC$1)</f>
        <v>13</v>
      </c>
      <c r="AD52" s="9">
        <f>SUMIFS($D:$D,$B:$B,"="&amp;$H52,$A:$A,"="&amp;AD$1)</f>
        <v>13</v>
      </c>
      <c r="AE52" s="9">
        <f>SUMIFS($D:$D,$B:$B,"="&amp;$H52,$A:$A,"="&amp;AE$1)</f>
        <v>13</v>
      </c>
      <c r="AF52" s="9">
        <f>SUMIFS($D:$D,$B:$B,"="&amp;$H52,$A:$A,"="&amp;AF$1)</f>
        <v>13</v>
      </c>
      <c r="AH52" s="11">
        <f t="shared" si="3"/>
        <v>3</v>
      </c>
      <c r="AI52" s="11">
        <f t="shared" si="4"/>
        <v>16</v>
      </c>
      <c r="AJ52" s="11">
        <f t="shared" si="5"/>
        <v>4</v>
      </c>
    </row>
    <row r="53" spans="1:36" x14ac:dyDescent="0.25">
      <c r="A53" t="s">
        <v>12</v>
      </c>
      <c r="B53" t="s">
        <v>64</v>
      </c>
      <c r="C53">
        <v>212</v>
      </c>
      <c r="D53">
        <v>18</v>
      </c>
      <c r="E53">
        <v>165</v>
      </c>
      <c r="H53" t="s">
        <v>88</v>
      </c>
      <c r="I53" s="9">
        <f>SUMIFS($D:$D,$B:$B,"="&amp;$H53,$A:$A,"="&amp;I$1)</f>
        <v>0</v>
      </c>
      <c r="J53" s="9">
        <f>SUMIFS($D:$D,$B:$B,"="&amp;$H53,$A:$A,"="&amp;J$1)</f>
        <v>0</v>
      </c>
      <c r="K53" s="9">
        <f>SUMIFS($D:$D,$B:$B,"="&amp;$H53,$A:$A,"="&amp;K$1)</f>
        <v>0</v>
      </c>
      <c r="L53" s="9">
        <f>SUMIFS($D:$D,$B:$B,"="&amp;$H53,$A:$A,"="&amp;L$1)</f>
        <v>0</v>
      </c>
      <c r="M53" s="9">
        <f>SUMIFS($D:$D,$B:$B,"="&amp;$H53,$A:$A,"="&amp;M$1)</f>
        <v>0</v>
      </c>
      <c r="N53" s="9">
        <f>SUMIFS($D:$D,$B:$B,"="&amp;$H53,$A:$A,"="&amp;N$1)</f>
        <v>9</v>
      </c>
      <c r="O53" s="9">
        <f>SUMIFS($D:$D,$B:$B,"="&amp;$H53,$A:$A,"="&amp;O$1)</f>
        <v>9</v>
      </c>
      <c r="P53" s="9">
        <f>SUMIFS($D:$D,$B:$B,"="&amp;$H53,$A:$A,"="&amp;P$1)</f>
        <v>10</v>
      </c>
      <c r="Q53" s="9">
        <f>SUMIFS($D:$D,$B:$B,"="&amp;$H53,$A:$A,"="&amp;Q$1)</f>
        <v>10</v>
      </c>
      <c r="R53" s="9">
        <f>SUMIFS($D:$D,$B:$B,"="&amp;$H53,$A:$A,"="&amp;R$1)</f>
        <v>10</v>
      </c>
      <c r="S53" s="9">
        <f>SUMIFS($D:$D,$B:$B,"="&amp;$H53,$A:$A,"="&amp;S$1)</f>
        <v>10</v>
      </c>
      <c r="T53" s="9">
        <f>SUMIFS($D:$D,$B:$B,"="&amp;$H53,$A:$A,"="&amp;T$1)</f>
        <v>10</v>
      </c>
      <c r="U53" s="9">
        <f>SUMIFS($D:$D,$B:$B,"="&amp;$H53,$A:$A,"="&amp;U$1)</f>
        <v>9</v>
      </c>
      <c r="V53" s="9">
        <f>SUMIFS($D:$D,$B:$B,"="&amp;$H53,$A:$A,"="&amp;V$1)</f>
        <v>9</v>
      </c>
      <c r="W53" s="9">
        <f>SUMIFS($D:$D,$B:$B,"="&amp;$H53,$A:$A,"="&amp;W$1)</f>
        <v>9</v>
      </c>
      <c r="X53" s="9">
        <f>SUMIFS($D:$D,$B:$B,"="&amp;$H53,$A:$A,"="&amp;X$1)</f>
        <v>9</v>
      </c>
      <c r="Y53" s="9">
        <f>SUMIFS($D:$D,$B:$B,"="&amp;$H53,$A:$A,"="&amp;Y$1)</f>
        <v>13</v>
      </c>
      <c r="Z53" s="9">
        <f>SUMIFS($D:$D,$B:$B,"="&amp;$H53,$A:$A,"="&amp;Z$1)</f>
        <v>13</v>
      </c>
      <c r="AA53" s="9">
        <f>SUMIFS($D:$D,$B:$B,"="&amp;$H53,$A:$A,"="&amp;AA$1)</f>
        <v>16</v>
      </c>
      <c r="AB53" s="9">
        <f>SUMIFS($D:$D,$B:$B,"="&amp;$H53,$A:$A,"="&amp;AB$1)</f>
        <v>15</v>
      </c>
      <c r="AC53" s="9">
        <f>SUMIFS($D:$D,$B:$B,"="&amp;$H53,$A:$A,"="&amp;AC$1)</f>
        <v>15</v>
      </c>
      <c r="AD53" s="9">
        <f>SUMIFS($D:$D,$B:$B,"="&amp;$H53,$A:$A,"="&amp;AD$1)</f>
        <v>15</v>
      </c>
      <c r="AE53" s="9">
        <f>SUMIFS($D:$D,$B:$B,"="&amp;$H53,$A:$A,"="&amp;AE$1)</f>
        <v>15</v>
      </c>
      <c r="AF53" s="9">
        <f>SUMIFS($D:$D,$B:$B,"="&amp;$H53,$A:$A,"="&amp;AF$1)</f>
        <v>15</v>
      </c>
      <c r="AH53" s="11">
        <f t="shared" si="3"/>
        <v>4</v>
      </c>
      <c r="AI53" s="11">
        <f t="shared" si="4"/>
        <v>17</v>
      </c>
      <c r="AJ53" s="11">
        <f t="shared" si="5"/>
        <v>2</v>
      </c>
    </row>
    <row r="54" spans="1:36" x14ac:dyDescent="0.25">
      <c r="A54" t="s">
        <v>12</v>
      </c>
      <c r="B54" t="s">
        <v>83</v>
      </c>
      <c r="C54">
        <v>3</v>
      </c>
      <c r="D54">
        <v>8</v>
      </c>
      <c r="E54">
        <v>40</v>
      </c>
      <c r="H54" t="s">
        <v>89</v>
      </c>
      <c r="I54" s="9">
        <f>SUMIFS($D:$D,$B:$B,"="&amp;$H54,$A:$A,"="&amp;I$1)</f>
        <v>0</v>
      </c>
      <c r="J54" s="9">
        <f>SUMIFS($D:$D,$B:$B,"="&amp;$H54,$A:$A,"="&amp;J$1)</f>
        <v>0</v>
      </c>
      <c r="K54" s="9">
        <f>SUMIFS($D:$D,$B:$B,"="&amp;$H54,$A:$A,"="&amp;K$1)</f>
        <v>0</v>
      </c>
      <c r="L54" s="9">
        <f>SUMIFS($D:$D,$B:$B,"="&amp;$H54,$A:$A,"="&amp;L$1)</f>
        <v>0</v>
      </c>
      <c r="M54" s="9">
        <f>SUMIFS($D:$D,$B:$B,"="&amp;$H54,$A:$A,"="&amp;M$1)</f>
        <v>0</v>
      </c>
      <c r="N54" s="9">
        <f>SUMIFS($D:$D,$B:$B,"="&amp;$H54,$A:$A,"="&amp;N$1)</f>
        <v>14</v>
      </c>
      <c r="O54" s="9">
        <f>SUMIFS($D:$D,$B:$B,"="&amp;$H54,$A:$A,"="&amp;O$1)</f>
        <v>14</v>
      </c>
      <c r="P54" s="9">
        <f>SUMIFS($D:$D,$B:$B,"="&amp;$H54,$A:$A,"="&amp;P$1)</f>
        <v>14</v>
      </c>
      <c r="Q54" s="9">
        <f>SUMIFS($D:$D,$B:$B,"="&amp;$H54,$A:$A,"="&amp;Q$1)</f>
        <v>14</v>
      </c>
      <c r="R54" s="9">
        <f>SUMIFS($D:$D,$B:$B,"="&amp;$H54,$A:$A,"="&amp;R$1)</f>
        <v>14</v>
      </c>
      <c r="S54" s="9">
        <f>SUMIFS($D:$D,$B:$B,"="&amp;$H54,$A:$A,"="&amp;S$1)</f>
        <v>20</v>
      </c>
      <c r="T54" s="9">
        <f>SUMIFS($D:$D,$B:$B,"="&amp;$H54,$A:$A,"="&amp;T$1)</f>
        <v>20</v>
      </c>
      <c r="U54" s="9">
        <f>SUMIFS($D:$D,$B:$B,"="&amp;$H54,$A:$A,"="&amp;U$1)</f>
        <v>18</v>
      </c>
      <c r="V54" s="9">
        <f>SUMIFS($D:$D,$B:$B,"="&amp;$H54,$A:$A,"="&amp;V$1)</f>
        <v>18</v>
      </c>
      <c r="W54" s="9">
        <f>SUMIFS($D:$D,$B:$B,"="&amp;$H54,$A:$A,"="&amp;W$1)</f>
        <v>18</v>
      </c>
      <c r="X54" s="9">
        <f>SUMIFS($D:$D,$B:$B,"="&amp;$H54,$A:$A,"="&amp;X$1)</f>
        <v>18</v>
      </c>
      <c r="Y54" s="9">
        <f>SUMIFS($D:$D,$B:$B,"="&amp;$H54,$A:$A,"="&amp;Y$1)</f>
        <v>22</v>
      </c>
      <c r="Z54" s="9">
        <f>SUMIFS($D:$D,$B:$B,"="&amp;$H54,$A:$A,"="&amp;Z$1)</f>
        <v>22</v>
      </c>
      <c r="AA54" s="9">
        <f>SUMIFS($D:$D,$B:$B,"="&amp;$H54,$A:$A,"="&amp;AA$1)</f>
        <v>25</v>
      </c>
      <c r="AB54" s="9">
        <f>SUMIFS($D:$D,$B:$B,"="&amp;$H54,$A:$A,"="&amp;AB$1)</f>
        <v>25</v>
      </c>
      <c r="AC54" s="9">
        <f>SUMIFS($D:$D,$B:$B,"="&amp;$H54,$A:$A,"="&amp;AC$1)</f>
        <v>26</v>
      </c>
      <c r="AD54" s="9">
        <f>SUMIFS($D:$D,$B:$B,"="&amp;$H54,$A:$A,"="&amp;AD$1)</f>
        <v>26</v>
      </c>
      <c r="AE54" s="9">
        <f>SUMIFS($D:$D,$B:$B,"="&amp;$H54,$A:$A,"="&amp;AE$1)</f>
        <v>26</v>
      </c>
      <c r="AF54" s="9">
        <f>SUMIFS($D:$D,$B:$B,"="&amp;$H54,$A:$A,"="&amp;AF$1)</f>
        <v>26</v>
      </c>
      <c r="AH54" s="11">
        <f t="shared" si="3"/>
        <v>5</v>
      </c>
      <c r="AI54" s="11">
        <f t="shared" si="4"/>
        <v>17</v>
      </c>
      <c r="AJ54" s="11">
        <f t="shared" si="5"/>
        <v>1</v>
      </c>
    </row>
    <row r="55" spans="1:36" x14ac:dyDescent="0.25">
      <c r="A55" t="s">
        <v>12</v>
      </c>
      <c r="B55" t="s">
        <v>84</v>
      </c>
      <c r="C55">
        <v>4</v>
      </c>
      <c r="D55">
        <v>12</v>
      </c>
      <c r="E55">
        <v>0</v>
      </c>
      <c r="H55" t="s">
        <v>90</v>
      </c>
      <c r="I55" s="9">
        <f>SUMIFS($D:$D,$B:$B,"="&amp;$H55,$A:$A,"="&amp;I$1)</f>
        <v>0</v>
      </c>
      <c r="J55" s="9">
        <f>SUMIFS($D:$D,$B:$B,"="&amp;$H55,$A:$A,"="&amp;J$1)</f>
        <v>0</v>
      </c>
      <c r="K55" s="9">
        <f>SUMIFS($D:$D,$B:$B,"="&amp;$H55,$A:$A,"="&amp;K$1)</f>
        <v>0</v>
      </c>
      <c r="L55" s="9">
        <f>SUMIFS($D:$D,$B:$B,"="&amp;$H55,$A:$A,"="&amp;L$1)</f>
        <v>0</v>
      </c>
      <c r="M55" s="9">
        <f>SUMIFS($D:$D,$B:$B,"="&amp;$H55,$A:$A,"="&amp;M$1)</f>
        <v>0</v>
      </c>
      <c r="N55" s="9">
        <f>SUMIFS($D:$D,$B:$B,"="&amp;$H55,$A:$A,"="&amp;N$1)</f>
        <v>2</v>
      </c>
      <c r="O55" s="9">
        <f>SUMIFS($D:$D,$B:$B,"="&amp;$H55,$A:$A,"="&amp;O$1)</f>
        <v>2</v>
      </c>
      <c r="P55" s="9">
        <f>SUMIFS($D:$D,$B:$B,"="&amp;$H55,$A:$A,"="&amp;P$1)</f>
        <v>2</v>
      </c>
      <c r="Q55" s="9">
        <f>SUMIFS($D:$D,$B:$B,"="&amp;$H55,$A:$A,"="&amp;Q$1)</f>
        <v>2</v>
      </c>
      <c r="R55" s="9">
        <f>SUMIFS($D:$D,$B:$B,"="&amp;$H55,$A:$A,"="&amp;R$1)</f>
        <v>2</v>
      </c>
      <c r="S55" s="9">
        <f>SUMIFS($D:$D,$B:$B,"="&amp;$H55,$A:$A,"="&amp;S$1)</f>
        <v>2</v>
      </c>
      <c r="T55" s="9">
        <f>SUMIFS($D:$D,$B:$B,"="&amp;$H55,$A:$A,"="&amp;T$1)</f>
        <v>2</v>
      </c>
      <c r="U55" s="9">
        <f>SUMIFS($D:$D,$B:$B,"="&amp;$H55,$A:$A,"="&amp;U$1)</f>
        <v>2</v>
      </c>
      <c r="V55" s="9">
        <f>SUMIFS($D:$D,$B:$B,"="&amp;$H55,$A:$A,"="&amp;V$1)</f>
        <v>2</v>
      </c>
      <c r="W55" s="9">
        <f>SUMIFS($D:$D,$B:$B,"="&amp;$H55,$A:$A,"="&amp;W$1)</f>
        <v>2</v>
      </c>
      <c r="X55" s="9">
        <f>SUMIFS($D:$D,$B:$B,"="&amp;$H55,$A:$A,"="&amp;X$1)</f>
        <v>2</v>
      </c>
      <c r="Y55" s="9">
        <f>SUMIFS($D:$D,$B:$B,"="&amp;$H55,$A:$A,"="&amp;Y$1)</f>
        <v>2</v>
      </c>
      <c r="Z55" s="9">
        <f>SUMIFS($D:$D,$B:$B,"="&amp;$H55,$A:$A,"="&amp;Z$1)</f>
        <v>2</v>
      </c>
      <c r="AA55" s="9">
        <f>SUMIFS($D:$D,$B:$B,"="&amp;$H55,$A:$A,"="&amp;AA$1)</f>
        <v>4</v>
      </c>
      <c r="AB55" s="9">
        <f>SUMIFS($D:$D,$B:$B,"="&amp;$H55,$A:$A,"="&amp;AB$1)</f>
        <v>4</v>
      </c>
      <c r="AC55" s="9">
        <f>SUMIFS($D:$D,$B:$B,"="&amp;$H55,$A:$A,"="&amp;AC$1)</f>
        <v>4</v>
      </c>
      <c r="AD55" s="9">
        <f>SUMIFS($D:$D,$B:$B,"="&amp;$H55,$A:$A,"="&amp;AD$1)</f>
        <v>4</v>
      </c>
      <c r="AE55" s="9">
        <f>SUMIFS($D:$D,$B:$B,"="&amp;$H55,$A:$A,"="&amp;AE$1)</f>
        <v>4</v>
      </c>
      <c r="AF55" s="9">
        <f>SUMIFS($D:$D,$B:$B,"="&amp;$H55,$A:$A,"="&amp;AF$1)</f>
        <v>4</v>
      </c>
      <c r="AH55" s="11">
        <f t="shared" si="3"/>
        <v>2</v>
      </c>
      <c r="AI55" s="11">
        <f t="shared" si="4"/>
        <v>21</v>
      </c>
      <c r="AJ55" s="11">
        <f t="shared" si="5"/>
        <v>0</v>
      </c>
    </row>
    <row r="56" spans="1:36" x14ac:dyDescent="0.25">
      <c r="A56" t="s">
        <v>12</v>
      </c>
      <c r="B56" t="s">
        <v>85</v>
      </c>
      <c r="C56">
        <v>1</v>
      </c>
      <c r="D56">
        <v>13</v>
      </c>
      <c r="E56">
        <v>28</v>
      </c>
      <c r="H56" t="s">
        <v>91</v>
      </c>
      <c r="I56" s="9">
        <f>SUMIFS($D:$D,$B:$B,"="&amp;$H56,$A:$A,"="&amp;I$1)</f>
        <v>0</v>
      </c>
      <c r="J56" s="9">
        <f>SUMIFS($D:$D,$B:$B,"="&amp;$H56,$A:$A,"="&amp;J$1)</f>
        <v>0</v>
      </c>
      <c r="K56" s="9">
        <f>SUMIFS($D:$D,$B:$B,"="&amp;$H56,$A:$A,"="&amp;K$1)</f>
        <v>0</v>
      </c>
      <c r="L56" s="9">
        <f>SUMIFS($D:$D,$B:$B,"="&amp;$H56,$A:$A,"="&amp;L$1)</f>
        <v>0</v>
      </c>
      <c r="M56" s="9">
        <f>SUMIFS($D:$D,$B:$B,"="&amp;$H56,$A:$A,"="&amp;M$1)</f>
        <v>0</v>
      </c>
      <c r="N56" s="9">
        <f>SUMIFS($D:$D,$B:$B,"="&amp;$H56,$A:$A,"="&amp;N$1)</f>
        <v>0</v>
      </c>
      <c r="O56" s="9">
        <f>SUMIFS($D:$D,$B:$B,"="&amp;$H56,$A:$A,"="&amp;O$1)</f>
        <v>0</v>
      </c>
      <c r="P56" s="9">
        <f>SUMIFS($D:$D,$B:$B,"="&amp;$H56,$A:$A,"="&amp;P$1)</f>
        <v>0</v>
      </c>
      <c r="Q56" s="9">
        <f>SUMIFS($D:$D,$B:$B,"="&amp;$H56,$A:$A,"="&amp;Q$1)</f>
        <v>0</v>
      </c>
      <c r="R56" s="9">
        <f>SUMIFS($D:$D,$B:$B,"="&amp;$H56,$A:$A,"="&amp;R$1)</f>
        <v>0</v>
      </c>
      <c r="S56" s="9">
        <f>SUMIFS($D:$D,$B:$B,"="&amp;$H56,$A:$A,"="&amp;S$1)</f>
        <v>0</v>
      </c>
      <c r="T56" s="9">
        <f>SUMIFS($D:$D,$B:$B,"="&amp;$H56,$A:$A,"="&amp;T$1)</f>
        <v>0</v>
      </c>
      <c r="U56" s="9">
        <f>SUMIFS($D:$D,$B:$B,"="&amp;$H56,$A:$A,"="&amp;U$1)</f>
        <v>0</v>
      </c>
      <c r="V56" s="9">
        <f>SUMIFS($D:$D,$B:$B,"="&amp;$H56,$A:$A,"="&amp;V$1)</f>
        <v>0</v>
      </c>
      <c r="W56" s="9">
        <f>SUMIFS($D:$D,$B:$B,"="&amp;$H56,$A:$A,"="&amp;W$1)</f>
        <v>0</v>
      </c>
      <c r="X56" s="9">
        <f>SUMIFS($D:$D,$B:$B,"="&amp;$H56,$A:$A,"="&amp;X$1)</f>
        <v>0</v>
      </c>
      <c r="Y56" s="9">
        <f>SUMIFS($D:$D,$B:$B,"="&amp;$H56,$A:$A,"="&amp;Y$1)</f>
        <v>0</v>
      </c>
      <c r="Z56" s="9">
        <f>SUMIFS($D:$D,$B:$B,"="&amp;$H56,$A:$A,"="&amp;Z$1)</f>
        <v>0</v>
      </c>
      <c r="AA56" s="9">
        <f>SUMIFS($D:$D,$B:$B,"="&amp;$H56,$A:$A,"="&amp;AA$1)</f>
        <v>0</v>
      </c>
      <c r="AB56" s="9">
        <f>SUMIFS($D:$D,$B:$B,"="&amp;$H56,$A:$A,"="&amp;AB$1)</f>
        <v>0</v>
      </c>
      <c r="AC56" s="9">
        <f>SUMIFS($D:$D,$B:$B,"="&amp;$H56,$A:$A,"="&amp;AC$1)</f>
        <v>0</v>
      </c>
      <c r="AD56" s="9">
        <f>SUMIFS($D:$D,$B:$B,"="&amp;$H56,$A:$A,"="&amp;AD$1)</f>
        <v>0</v>
      </c>
      <c r="AE56" s="9">
        <f>SUMIFS($D:$D,$B:$B,"="&amp;$H56,$A:$A,"="&amp;AE$1)</f>
        <v>0</v>
      </c>
      <c r="AF56" s="9">
        <f>SUMIFS($D:$D,$B:$B,"="&amp;$H56,$A:$A,"="&amp;AF$1)</f>
        <v>0</v>
      </c>
      <c r="AH56" s="11">
        <f t="shared" si="3"/>
        <v>0</v>
      </c>
      <c r="AI56" s="11">
        <f t="shared" si="4"/>
        <v>23</v>
      </c>
      <c r="AJ56" s="11">
        <f t="shared" si="5"/>
        <v>0</v>
      </c>
    </row>
    <row r="57" spans="1:36" x14ac:dyDescent="0.25">
      <c r="A57" t="s">
        <v>12</v>
      </c>
      <c r="B57" t="s">
        <v>86</v>
      </c>
      <c r="C57">
        <v>4</v>
      </c>
      <c r="D57">
        <v>1</v>
      </c>
      <c r="E57">
        <v>7</v>
      </c>
      <c r="H57" t="s">
        <v>79</v>
      </c>
      <c r="I57" s="9">
        <f>SUMIFS($D:$D,$B:$B,"="&amp;$H57,$A:$A,"="&amp;I$1)</f>
        <v>0</v>
      </c>
      <c r="J57" s="9">
        <f>SUMIFS($D:$D,$B:$B,"="&amp;$H57,$A:$A,"="&amp;J$1)</f>
        <v>0</v>
      </c>
      <c r="K57" s="9">
        <f>SUMIFS($D:$D,$B:$B,"="&amp;$H57,$A:$A,"="&amp;K$1)</f>
        <v>0</v>
      </c>
      <c r="L57" s="9">
        <f>SUMIFS($D:$D,$B:$B,"="&amp;$H57,$A:$A,"="&amp;L$1)</f>
        <v>5</v>
      </c>
      <c r="M57" s="9">
        <f>SUMIFS($D:$D,$B:$B,"="&amp;$H57,$A:$A,"="&amp;M$1)</f>
        <v>5</v>
      </c>
      <c r="N57" s="9">
        <f>SUMIFS($D:$D,$B:$B,"="&amp;$H57,$A:$A,"="&amp;N$1)</f>
        <v>5</v>
      </c>
      <c r="O57" s="9">
        <f>SUMIFS($D:$D,$B:$B,"="&amp;$H57,$A:$A,"="&amp;O$1)</f>
        <v>5</v>
      </c>
      <c r="P57" s="9">
        <f>SUMIFS($D:$D,$B:$B,"="&amp;$H57,$A:$A,"="&amp;P$1)</f>
        <v>6</v>
      </c>
      <c r="Q57" s="9">
        <f>SUMIFS($D:$D,$B:$B,"="&amp;$H57,$A:$A,"="&amp;Q$1)</f>
        <v>6</v>
      </c>
      <c r="R57" s="9">
        <f>SUMIFS($D:$D,$B:$B,"="&amp;$H57,$A:$A,"="&amp;R$1)</f>
        <v>6</v>
      </c>
      <c r="S57" s="9">
        <f>SUMIFS($D:$D,$B:$B,"="&amp;$H57,$A:$A,"="&amp;S$1)</f>
        <v>10</v>
      </c>
      <c r="T57" s="9">
        <f>SUMIFS($D:$D,$B:$B,"="&amp;$H57,$A:$A,"="&amp;T$1)</f>
        <v>10</v>
      </c>
      <c r="U57" s="9">
        <f>SUMIFS($D:$D,$B:$B,"="&amp;$H57,$A:$A,"="&amp;U$1)</f>
        <v>9</v>
      </c>
      <c r="V57" s="9">
        <f>SUMIFS($D:$D,$B:$B,"="&amp;$H57,$A:$A,"="&amp;V$1)</f>
        <v>9</v>
      </c>
      <c r="W57" s="9">
        <f>SUMIFS($D:$D,$B:$B,"="&amp;$H57,$A:$A,"="&amp;W$1)</f>
        <v>9</v>
      </c>
      <c r="X57" s="9">
        <f>SUMIFS($D:$D,$B:$B,"="&amp;$H57,$A:$A,"="&amp;X$1)</f>
        <v>9</v>
      </c>
      <c r="Y57" s="9">
        <f>SUMIFS($D:$D,$B:$B,"="&amp;$H57,$A:$A,"="&amp;Y$1)</f>
        <v>11</v>
      </c>
      <c r="Z57" s="9">
        <f>SUMIFS($D:$D,$B:$B,"="&amp;$H57,$A:$A,"="&amp;Z$1)</f>
        <v>14</v>
      </c>
      <c r="AA57" s="9">
        <f>SUMIFS($D:$D,$B:$B,"="&amp;$H57,$A:$A,"="&amp;AA$1)</f>
        <v>16</v>
      </c>
      <c r="AB57" s="9">
        <f>SUMIFS($D:$D,$B:$B,"="&amp;$H57,$A:$A,"="&amp;AB$1)</f>
        <v>16</v>
      </c>
      <c r="AC57" s="9">
        <f>SUMIFS($D:$D,$B:$B,"="&amp;$H57,$A:$A,"="&amp;AC$1)</f>
        <v>16</v>
      </c>
      <c r="AD57" s="9">
        <f>SUMIFS($D:$D,$B:$B,"="&amp;$H57,$A:$A,"="&amp;AD$1)</f>
        <v>16</v>
      </c>
      <c r="AE57" s="9">
        <f>SUMIFS($D:$D,$B:$B,"="&amp;$H57,$A:$A,"="&amp;AE$1)</f>
        <v>16</v>
      </c>
      <c r="AF57" s="9">
        <f>SUMIFS($D:$D,$B:$B,"="&amp;$H57,$A:$A,"="&amp;AF$1)</f>
        <v>16</v>
      </c>
      <c r="AH57" s="11">
        <f t="shared" si="3"/>
        <v>6</v>
      </c>
      <c r="AI57" s="11">
        <f t="shared" si="4"/>
        <v>16</v>
      </c>
      <c r="AJ57" s="11">
        <f t="shared" si="5"/>
        <v>1</v>
      </c>
    </row>
    <row r="58" spans="1:36" x14ac:dyDescent="0.25">
      <c r="A58" t="s">
        <v>12</v>
      </c>
      <c r="B58" t="s">
        <v>79</v>
      </c>
      <c r="C58">
        <v>0</v>
      </c>
      <c r="D58">
        <v>5</v>
      </c>
      <c r="E58">
        <v>0</v>
      </c>
      <c r="H58" t="s">
        <v>80</v>
      </c>
      <c r="I58" s="9">
        <f>SUMIFS($D:$D,$B:$B,"="&amp;$H58,$A:$A,"="&amp;I$1)</f>
        <v>0</v>
      </c>
      <c r="J58" s="9">
        <f>SUMIFS($D:$D,$B:$B,"="&amp;$H58,$A:$A,"="&amp;J$1)</f>
        <v>0</v>
      </c>
      <c r="K58" s="9">
        <f>SUMIFS($D:$D,$B:$B,"="&amp;$H58,$A:$A,"="&amp;K$1)</f>
        <v>0</v>
      </c>
      <c r="L58" s="9">
        <f>SUMIFS($D:$D,$B:$B,"="&amp;$H58,$A:$A,"="&amp;L$1)</f>
        <v>6</v>
      </c>
      <c r="M58" s="9">
        <f>SUMIFS($D:$D,$B:$B,"="&amp;$H58,$A:$A,"="&amp;M$1)</f>
        <v>6</v>
      </c>
      <c r="N58" s="9">
        <f>SUMIFS($D:$D,$B:$B,"="&amp;$H58,$A:$A,"="&amp;N$1)</f>
        <v>7</v>
      </c>
      <c r="O58" s="9">
        <f>SUMIFS($D:$D,$B:$B,"="&amp;$H58,$A:$A,"="&amp;O$1)</f>
        <v>7</v>
      </c>
      <c r="P58" s="9">
        <f>SUMIFS($D:$D,$B:$B,"="&amp;$H58,$A:$A,"="&amp;P$1)</f>
        <v>7</v>
      </c>
      <c r="Q58" s="9">
        <f>SUMIFS($D:$D,$B:$B,"="&amp;$H58,$A:$A,"="&amp;Q$1)</f>
        <v>7</v>
      </c>
      <c r="R58" s="9">
        <f>SUMIFS($D:$D,$B:$B,"="&amp;$H58,$A:$A,"="&amp;R$1)</f>
        <v>7</v>
      </c>
      <c r="S58" s="9">
        <f>SUMIFS($D:$D,$B:$B,"="&amp;$H58,$A:$A,"="&amp;S$1)</f>
        <v>8</v>
      </c>
      <c r="T58" s="9">
        <f>SUMIFS($D:$D,$B:$B,"="&amp;$H58,$A:$A,"="&amp;T$1)</f>
        <v>8</v>
      </c>
      <c r="U58" s="9">
        <f>SUMIFS($D:$D,$B:$B,"="&amp;$H58,$A:$A,"="&amp;U$1)</f>
        <v>8</v>
      </c>
      <c r="V58" s="9">
        <f>SUMIFS($D:$D,$B:$B,"="&amp;$H58,$A:$A,"="&amp;V$1)</f>
        <v>10</v>
      </c>
      <c r="W58" s="9">
        <f>SUMIFS($D:$D,$B:$B,"="&amp;$H58,$A:$A,"="&amp;W$1)</f>
        <v>10</v>
      </c>
      <c r="X58" s="9">
        <f>SUMIFS($D:$D,$B:$B,"="&amp;$H58,$A:$A,"="&amp;X$1)</f>
        <v>10</v>
      </c>
      <c r="Y58" s="9">
        <f>SUMIFS($D:$D,$B:$B,"="&amp;$H58,$A:$A,"="&amp;Y$1)</f>
        <v>31</v>
      </c>
      <c r="Z58" s="9">
        <f>SUMIFS($D:$D,$B:$B,"="&amp;$H58,$A:$A,"="&amp;Z$1)</f>
        <v>33</v>
      </c>
      <c r="AA58" s="9">
        <f>SUMIFS($D:$D,$B:$B,"="&amp;$H58,$A:$A,"="&amp;AA$1)</f>
        <v>36</v>
      </c>
      <c r="AB58" s="9">
        <f>SUMIFS($D:$D,$B:$B,"="&amp;$H58,$A:$A,"="&amp;AB$1)</f>
        <v>36</v>
      </c>
      <c r="AC58" s="9">
        <f>SUMIFS($D:$D,$B:$B,"="&amp;$H58,$A:$A,"="&amp;AC$1)</f>
        <v>37</v>
      </c>
      <c r="AD58" s="9">
        <f>SUMIFS($D:$D,$B:$B,"="&amp;$H58,$A:$A,"="&amp;AD$1)</f>
        <v>37</v>
      </c>
      <c r="AE58" s="9">
        <f>SUMIFS($D:$D,$B:$B,"="&amp;$H58,$A:$A,"="&amp;AE$1)</f>
        <v>37</v>
      </c>
      <c r="AF58" s="9">
        <f>SUMIFS($D:$D,$B:$B,"="&amp;$H58,$A:$A,"="&amp;AF$1)</f>
        <v>37</v>
      </c>
      <c r="AH58" s="11">
        <f t="shared" si="3"/>
        <v>8</v>
      </c>
      <c r="AI58" s="11">
        <f t="shared" si="4"/>
        <v>15</v>
      </c>
      <c r="AJ58" s="11">
        <f t="shared" si="5"/>
        <v>0</v>
      </c>
    </row>
    <row r="59" spans="1:36" x14ac:dyDescent="0.25">
      <c r="A59" t="s">
        <v>12</v>
      </c>
      <c r="B59" t="s">
        <v>63</v>
      </c>
      <c r="C59">
        <v>21</v>
      </c>
      <c r="D59">
        <v>92</v>
      </c>
      <c r="E59">
        <v>236</v>
      </c>
      <c r="H59" t="s">
        <v>81</v>
      </c>
      <c r="I59" s="9">
        <f>SUMIFS($D:$D,$B:$B,"="&amp;$H59,$A:$A,"="&amp;I$1)</f>
        <v>0</v>
      </c>
      <c r="J59" s="9">
        <f>SUMIFS($D:$D,$B:$B,"="&amp;$H59,$A:$A,"="&amp;J$1)</f>
        <v>0</v>
      </c>
      <c r="K59" s="9">
        <f>SUMIFS($D:$D,$B:$B,"="&amp;$H59,$A:$A,"="&amp;K$1)</f>
        <v>0</v>
      </c>
      <c r="L59" s="9">
        <f>SUMIFS($D:$D,$B:$B,"="&amp;$H59,$A:$A,"="&amp;L$1)</f>
        <v>12</v>
      </c>
      <c r="M59" s="9">
        <f>SUMIFS($D:$D,$B:$B,"="&amp;$H59,$A:$A,"="&amp;M$1)</f>
        <v>12</v>
      </c>
      <c r="N59" s="9">
        <f>SUMIFS($D:$D,$B:$B,"="&amp;$H59,$A:$A,"="&amp;N$1)</f>
        <v>13</v>
      </c>
      <c r="O59" s="9">
        <f>SUMIFS($D:$D,$B:$B,"="&amp;$H59,$A:$A,"="&amp;O$1)</f>
        <v>13</v>
      </c>
      <c r="P59" s="9">
        <f>SUMIFS($D:$D,$B:$B,"="&amp;$H59,$A:$A,"="&amp;P$1)</f>
        <v>13</v>
      </c>
      <c r="Q59" s="9">
        <f>SUMIFS($D:$D,$B:$B,"="&amp;$H59,$A:$A,"="&amp;Q$1)</f>
        <v>13</v>
      </c>
      <c r="R59" s="9">
        <f>SUMIFS($D:$D,$B:$B,"="&amp;$H59,$A:$A,"="&amp;R$1)</f>
        <v>13</v>
      </c>
      <c r="S59" s="9">
        <f>SUMIFS($D:$D,$B:$B,"="&amp;$H59,$A:$A,"="&amp;S$1)</f>
        <v>13</v>
      </c>
      <c r="T59" s="9">
        <f>SUMIFS($D:$D,$B:$B,"="&amp;$H59,$A:$A,"="&amp;T$1)</f>
        <v>13</v>
      </c>
      <c r="U59" s="9">
        <f>SUMIFS($D:$D,$B:$B,"="&amp;$H59,$A:$A,"="&amp;U$1)</f>
        <v>12</v>
      </c>
      <c r="V59" s="9">
        <f>SUMIFS($D:$D,$B:$B,"="&amp;$H59,$A:$A,"="&amp;V$1)</f>
        <v>14</v>
      </c>
      <c r="W59" s="9">
        <f>SUMIFS($D:$D,$B:$B,"="&amp;$H59,$A:$A,"="&amp;W$1)</f>
        <v>14</v>
      </c>
      <c r="X59" s="9">
        <f>SUMIFS($D:$D,$B:$B,"="&amp;$H59,$A:$A,"="&amp;X$1)</f>
        <v>14</v>
      </c>
      <c r="Y59" s="9">
        <f>SUMIFS($D:$D,$B:$B,"="&amp;$H59,$A:$A,"="&amp;Y$1)</f>
        <v>18</v>
      </c>
      <c r="Z59" s="9">
        <f>SUMIFS($D:$D,$B:$B,"="&amp;$H59,$A:$A,"="&amp;Z$1)</f>
        <v>19</v>
      </c>
      <c r="AA59" s="9">
        <f>SUMIFS($D:$D,$B:$B,"="&amp;$H59,$A:$A,"="&amp;AA$1)</f>
        <v>19</v>
      </c>
      <c r="AB59" s="9">
        <f>SUMIFS($D:$D,$B:$B,"="&amp;$H59,$A:$A,"="&amp;AB$1)</f>
        <v>19</v>
      </c>
      <c r="AC59" s="9">
        <f>SUMIFS($D:$D,$B:$B,"="&amp;$H59,$A:$A,"="&amp;AC$1)</f>
        <v>19</v>
      </c>
      <c r="AD59" s="9">
        <f>SUMIFS($D:$D,$B:$B,"="&amp;$H59,$A:$A,"="&amp;AD$1)</f>
        <v>19</v>
      </c>
      <c r="AE59" s="9">
        <f>SUMIFS($D:$D,$B:$B,"="&amp;$H59,$A:$A,"="&amp;AE$1)</f>
        <v>19</v>
      </c>
      <c r="AF59" s="9">
        <f>SUMIFS($D:$D,$B:$B,"="&amp;$H59,$A:$A,"="&amp;AF$1)</f>
        <v>19</v>
      </c>
      <c r="AH59" s="11">
        <f t="shared" si="3"/>
        <v>5</v>
      </c>
      <c r="AI59" s="11">
        <f t="shared" si="4"/>
        <v>17</v>
      </c>
      <c r="AJ59" s="11">
        <f t="shared" si="5"/>
        <v>1</v>
      </c>
    </row>
    <row r="60" spans="1:36" x14ac:dyDescent="0.25">
      <c r="A60" t="s">
        <v>12</v>
      </c>
      <c r="B60" t="s">
        <v>76</v>
      </c>
      <c r="C60">
        <v>1</v>
      </c>
      <c r="D60">
        <v>15</v>
      </c>
      <c r="E60">
        <v>18</v>
      </c>
      <c r="H60" t="s">
        <v>82</v>
      </c>
      <c r="I60" s="9">
        <f>SUMIFS($D:$D,$B:$B,"="&amp;$H60,$A:$A,"="&amp;I$1)</f>
        <v>0</v>
      </c>
      <c r="J60" s="9">
        <f>SUMIFS($D:$D,$B:$B,"="&amp;$H60,$A:$A,"="&amp;J$1)</f>
        <v>0</v>
      </c>
      <c r="K60" s="9">
        <f>SUMIFS($D:$D,$B:$B,"="&amp;$H60,$A:$A,"="&amp;K$1)</f>
        <v>0</v>
      </c>
      <c r="L60" s="9">
        <f>SUMIFS($D:$D,$B:$B,"="&amp;$H60,$A:$A,"="&amp;L$1)</f>
        <v>0</v>
      </c>
      <c r="M60" s="9">
        <f>SUMIFS($D:$D,$B:$B,"="&amp;$H60,$A:$A,"="&amp;M$1)</f>
        <v>0</v>
      </c>
      <c r="N60" s="9">
        <f>SUMIFS($D:$D,$B:$B,"="&amp;$H60,$A:$A,"="&amp;N$1)</f>
        <v>0</v>
      </c>
      <c r="O60" s="9">
        <f>SUMIFS($D:$D,$B:$B,"="&amp;$H60,$A:$A,"="&amp;O$1)</f>
        <v>0</v>
      </c>
      <c r="P60" s="9">
        <f>SUMIFS($D:$D,$B:$B,"="&amp;$H60,$A:$A,"="&amp;P$1)</f>
        <v>0</v>
      </c>
      <c r="Q60" s="9">
        <f>SUMIFS($D:$D,$B:$B,"="&amp;$H60,$A:$A,"="&amp;Q$1)</f>
        <v>0</v>
      </c>
      <c r="R60" s="9">
        <f>SUMIFS($D:$D,$B:$B,"="&amp;$H60,$A:$A,"="&amp;R$1)</f>
        <v>0</v>
      </c>
      <c r="S60" s="9">
        <f>SUMIFS($D:$D,$B:$B,"="&amp;$H60,$A:$A,"="&amp;S$1)</f>
        <v>0</v>
      </c>
      <c r="T60" s="9">
        <f>SUMIFS($D:$D,$B:$B,"="&amp;$H60,$A:$A,"="&amp;T$1)</f>
        <v>0</v>
      </c>
      <c r="U60" s="9">
        <f>SUMIFS($D:$D,$B:$B,"="&amp;$H60,$A:$A,"="&amp;U$1)</f>
        <v>0</v>
      </c>
      <c r="V60" s="9">
        <f>SUMIFS($D:$D,$B:$B,"="&amp;$H60,$A:$A,"="&amp;V$1)</f>
        <v>0</v>
      </c>
      <c r="W60" s="9">
        <f>SUMIFS($D:$D,$B:$B,"="&amp;$H60,$A:$A,"="&amp;W$1)</f>
        <v>0</v>
      </c>
      <c r="X60" s="9">
        <f>SUMIFS($D:$D,$B:$B,"="&amp;$H60,$A:$A,"="&amp;X$1)</f>
        <v>0</v>
      </c>
      <c r="Y60" s="9">
        <f>SUMIFS($D:$D,$B:$B,"="&amp;$H60,$A:$A,"="&amp;Y$1)</f>
        <v>0</v>
      </c>
      <c r="Z60" s="9">
        <f>SUMIFS($D:$D,$B:$B,"="&amp;$H60,$A:$A,"="&amp;Z$1)</f>
        <v>0</v>
      </c>
      <c r="AA60" s="9">
        <f>SUMIFS($D:$D,$B:$B,"="&amp;$H60,$A:$A,"="&amp;AA$1)</f>
        <v>0</v>
      </c>
      <c r="AB60" s="9">
        <f>SUMIFS($D:$D,$B:$B,"="&amp;$H60,$A:$A,"="&amp;AB$1)</f>
        <v>0</v>
      </c>
      <c r="AC60" s="9">
        <f>SUMIFS($D:$D,$B:$B,"="&amp;$H60,$A:$A,"="&amp;AC$1)</f>
        <v>0</v>
      </c>
      <c r="AD60" s="9">
        <f>SUMIFS($D:$D,$B:$B,"="&amp;$H60,$A:$A,"="&amp;AD$1)</f>
        <v>0</v>
      </c>
      <c r="AE60" s="9">
        <f>SUMIFS($D:$D,$B:$B,"="&amp;$H60,$A:$A,"="&amp;AE$1)</f>
        <v>0</v>
      </c>
      <c r="AF60" s="9">
        <f>SUMIFS($D:$D,$B:$B,"="&amp;$H60,$A:$A,"="&amp;AF$1)</f>
        <v>0</v>
      </c>
      <c r="AH60" s="11">
        <f t="shared" si="3"/>
        <v>0</v>
      </c>
      <c r="AI60" s="11">
        <f t="shared" si="4"/>
        <v>23</v>
      </c>
      <c r="AJ60" s="11">
        <f t="shared" si="5"/>
        <v>0</v>
      </c>
    </row>
    <row r="61" spans="1:36" x14ac:dyDescent="0.25">
      <c r="A61" t="s">
        <v>12</v>
      </c>
      <c r="B61" t="s">
        <v>80</v>
      </c>
      <c r="C61">
        <v>16</v>
      </c>
      <c r="D61">
        <v>7</v>
      </c>
      <c r="E61">
        <v>27</v>
      </c>
      <c r="H61" t="s">
        <v>76</v>
      </c>
      <c r="I61" s="9">
        <f>SUMIFS($D:$D,$B:$B,"="&amp;$H61,$A:$A,"="&amp;I$1)</f>
        <v>0</v>
      </c>
      <c r="J61" s="9">
        <f>SUMIFS($D:$D,$B:$B,"="&amp;$H61,$A:$A,"="&amp;J$1)</f>
        <v>0</v>
      </c>
      <c r="K61" s="9">
        <f>SUMIFS($D:$D,$B:$B,"="&amp;$H61,$A:$A,"="&amp;K$1)</f>
        <v>13</v>
      </c>
      <c r="L61" s="9">
        <f>SUMIFS($D:$D,$B:$B,"="&amp;$H61,$A:$A,"="&amp;L$1)</f>
        <v>14</v>
      </c>
      <c r="M61" s="9">
        <f>SUMIFS($D:$D,$B:$B,"="&amp;$H61,$A:$A,"="&amp;M$1)</f>
        <v>14</v>
      </c>
      <c r="N61" s="9">
        <f>SUMIFS($D:$D,$B:$B,"="&amp;$H61,$A:$A,"="&amp;N$1)</f>
        <v>15</v>
      </c>
      <c r="O61" s="9">
        <f>SUMIFS($D:$D,$B:$B,"="&amp;$H61,$A:$A,"="&amp;O$1)</f>
        <v>15</v>
      </c>
      <c r="P61" s="9">
        <f>SUMIFS($D:$D,$B:$B,"="&amp;$H61,$A:$A,"="&amp;P$1)</f>
        <v>15</v>
      </c>
      <c r="Q61" s="9">
        <f>SUMIFS($D:$D,$B:$B,"="&amp;$H61,$A:$A,"="&amp;Q$1)</f>
        <v>15</v>
      </c>
      <c r="R61" s="9">
        <f>SUMIFS($D:$D,$B:$B,"="&amp;$H61,$A:$A,"="&amp;R$1)</f>
        <v>15</v>
      </c>
      <c r="S61" s="9">
        <f>SUMIFS($D:$D,$B:$B,"="&amp;$H61,$A:$A,"="&amp;S$1)</f>
        <v>15</v>
      </c>
      <c r="T61" s="9">
        <f>SUMIFS($D:$D,$B:$B,"="&amp;$H61,$A:$A,"="&amp;T$1)</f>
        <v>15</v>
      </c>
      <c r="U61" s="9">
        <f>SUMIFS($D:$D,$B:$B,"="&amp;$H61,$A:$A,"="&amp;U$1)</f>
        <v>14</v>
      </c>
      <c r="V61" s="9">
        <f>SUMIFS($D:$D,$B:$B,"="&amp;$H61,$A:$A,"="&amp;V$1)</f>
        <v>16</v>
      </c>
      <c r="W61" s="9">
        <f>SUMIFS($D:$D,$B:$B,"="&amp;$H61,$A:$A,"="&amp;W$1)</f>
        <v>16</v>
      </c>
      <c r="X61" s="9">
        <f>SUMIFS($D:$D,$B:$B,"="&amp;$H61,$A:$A,"="&amp;X$1)</f>
        <v>16</v>
      </c>
      <c r="Y61" s="9">
        <f>SUMIFS($D:$D,$B:$B,"="&amp;$H61,$A:$A,"="&amp;Y$1)</f>
        <v>21</v>
      </c>
      <c r="Z61" s="9">
        <f>SUMIFS($D:$D,$B:$B,"="&amp;$H61,$A:$A,"="&amp;Z$1)</f>
        <v>21</v>
      </c>
      <c r="AA61" s="9">
        <f>SUMIFS($D:$D,$B:$B,"="&amp;$H61,$A:$A,"="&amp;AA$1)</f>
        <v>22</v>
      </c>
      <c r="AB61" s="9">
        <f>SUMIFS($D:$D,$B:$B,"="&amp;$H61,$A:$A,"="&amp;AB$1)</f>
        <v>22</v>
      </c>
      <c r="AC61" s="9">
        <f>SUMIFS($D:$D,$B:$B,"="&amp;$H61,$A:$A,"="&amp;AC$1)</f>
        <v>22</v>
      </c>
      <c r="AD61" s="9">
        <f>SUMIFS($D:$D,$B:$B,"="&amp;$H61,$A:$A,"="&amp;AD$1)</f>
        <v>22</v>
      </c>
      <c r="AE61" s="9">
        <f>SUMIFS($D:$D,$B:$B,"="&amp;$H61,$A:$A,"="&amp;AE$1)</f>
        <v>22</v>
      </c>
      <c r="AF61" s="9">
        <f>SUMIFS($D:$D,$B:$B,"="&amp;$H61,$A:$A,"="&amp;AF$1)</f>
        <v>22</v>
      </c>
      <c r="AH61" s="11">
        <f t="shared" si="3"/>
        <v>6</v>
      </c>
      <c r="AI61" s="11">
        <f t="shared" si="4"/>
        <v>16</v>
      </c>
      <c r="AJ61" s="11">
        <f t="shared" si="5"/>
        <v>1</v>
      </c>
    </row>
    <row r="62" spans="1:36" x14ac:dyDescent="0.25">
      <c r="A62" t="s">
        <v>12</v>
      </c>
      <c r="B62" t="s">
        <v>87</v>
      </c>
      <c r="C62">
        <v>0</v>
      </c>
      <c r="D62">
        <v>16</v>
      </c>
      <c r="E62">
        <v>13</v>
      </c>
      <c r="H62" t="s">
        <v>77</v>
      </c>
      <c r="I62" s="9">
        <f>SUMIFS($D:$D,$B:$B,"="&amp;$H62,$A:$A,"="&amp;I$1)</f>
        <v>0</v>
      </c>
      <c r="J62" s="9">
        <f>SUMIFS($D:$D,$B:$B,"="&amp;$H62,$A:$A,"="&amp;J$1)</f>
        <v>0</v>
      </c>
      <c r="K62" s="9">
        <f>SUMIFS($D:$D,$B:$B,"="&amp;$H62,$A:$A,"="&amp;K$1)</f>
        <v>4</v>
      </c>
      <c r="L62" s="9">
        <f>SUMIFS($D:$D,$B:$B,"="&amp;$H62,$A:$A,"="&amp;L$1)</f>
        <v>6</v>
      </c>
      <c r="M62" s="9">
        <f>SUMIFS($D:$D,$B:$B,"="&amp;$H62,$A:$A,"="&amp;M$1)</f>
        <v>6</v>
      </c>
      <c r="N62" s="9">
        <f>SUMIFS($D:$D,$B:$B,"="&amp;$H62,$A:$A,"="&amp;N$1)</f>
        <v>8</v>
      </c>
      <c r="O62" s="9">
        <f>SUMIFS($D:$D,$B:$B,"="&amp;$H62,$A:$A,"="&amp;O$1)</f>
        <v>8</v>
      </c>
      <c r="P62" s="9">
        <f>SUMIFS($D:$D,$B:$B,"="&amp;$H62,$A:$A,"="&amp;P$1)</f>
        <v>11</v>
      </c>
      <c r="Q62" s="9">
        <f>SUMIFS($D:$D,$B:$B,"="&amp;$H62,$A:$A,"="&amp;Q$1)</f>
        <v>11</v>
      </c>
      <c r="R62" s="9">
        <f>SUMIFS($D:$D,$B:$B,"="&amp;$H62,$A:$A,"="&amp;R$1)</f>
        <v>11</v>
      </c>
      <c r="S62" s="9">
        <f>SUMIFS($D:$D,$B:$B,"="&amp;$H62,$A:$A,"="&amp;S$1)</f>
        <v>14</v>
      </c>
      <c r="T62" s="9">
        <f>SUMIFS($D:$D,$B:$B,"="&amp;$H62,$A:$A,"="&amp;T$1)</f>
        <v>14</v>
      </c>
      <c r="U62" s="9">
        <f>SUMIFS($D:$D,$B:$B,"="&amp;$H62,$A:$A,"="&amp;U$1)</f>
        <v>16</v>
      </c>
      <c r="V62" s="9">
        <f>SUMIFS($D:$D,$B:$B,"="&amp;$H62,$A:$A,"="&amp;V$1)</f>
        <v>16</v>
      </c>
      <c r="W62" s="9">
        <f>SUMIFS($D:$D,$B:$B,"="&amp;$H62,$A:$A,"="&amp;W$1)</f>
        <v>16</v>
      </c>
      <c r="X62" s="9">
        <f>SUMIFS($D:$D,$B:$B,"="&amp;$H62,$A:$A,"="&amp;X$1)</f>
        <v>16</v>
      </c>
      <c r="Y62" s="9">
        <f>SUMIFS($D:$D,$B:$B,"="&amp;$H62,$A:$A,"="&amp;Y$1)</f>
        <v>33</v>
      </c>
      <c r="Z62" s="9">
        <f>SUMIFS($D:$D,$B:$B,"="&amp;$H62,$A:$A,"="&amp;Z$1)</f>
        <v>30</v>
      </c>
      <c r="AA62" s="9">
        <f>SUMIFS($D:$D,$B:$B,"="&amp;$H62,$A:$A,"="&amp;AA$1)</f>
        <v>31</v>
      </c>
      <c r="AB62" s="9">
        <f>SUMIFS($D:$D,$B:$B,"="&amp;$H62,$A:$A,"="&amp;AB$1)</f>
        <v>31</v>
      </c>
      <c r="AC62" s="9">
        <f>SUMIFS($D:$D,$B:$B,"="&amp;$H62,$A:$A,"="&amp;AC$1)</f>
        <v>32</v>
      </c>
      <c r="AD62" s="9">
        <f>SUMIFS($D:$D,$B:$B,"="&amp;$H62,$A:$A,"="&amp;AD$1)</f>
        <v>32</v>
      </c>
      <c r="AE62" s="9">
        <f>SUMIFS($D:$D,$B:$B,"="&amp;$H62,$A:$A,"="&amp;AE$1)</f>
        <v>32</v>
      </c>
      <c r="AF62" s="9">
        <f>SUMIFS($D:$D,$B:$B,"="&amp;$H62,$A:$A,"="&amp;AF$1)</f>
        <v>33</v>
      </c>
      <c r="AH62" s="11">
        <f t="shared" si="3"/>
        <v>10</v>
      </c>
      <c r="AI62" s="11">
        <f t="shared" si="4"/>
        <v>12</v>
      </c>
      <c r="AJ62" s="11">
        <f t="shared" si="5"/>
        <v>1</v>
      </c>
    </row>
    <row r="63" spans="1:36" x14ac:dyDescent="0.25">
      <c r="A63" t="s">
        <v>12</v>
      </c>
      <c r="B63" t="s">
        <v>88</v>
      </c>
      <c r="C63">
        <v>1</v>
      </c>
      <c r="D63">
        <v>9</v>
      </c>
      <c r="E63">
        <v>11</v>
      </c>
      <c r="H63" t="s">
        <v>78</v>
      </c>
      <c r="I63" s="9">
        <f>SUMIFS($D:$D,$B:$B,"="&amp;$H63,$A:$A,"="&amp;I$1)</f>
        <v>0</v>
      </c>
      <c r="J63" s="9">
        <f>SUMIFS($D:$D,$B:$B,"="&amp;$H63,$A:$A,"="&amp;J$1)</f>
        <v>0</v>
      </c>
      <c r="K63" s="9">
        <f>SUMIFS($D:$D,$B:$B,"="&amp;$H63,$A:$A,"="&amp;K$1)</f>
        <v>1</v>
      </c>
      <c r="L63" s="9">
        <f>SUMIFS($D:$D,$B:$B,"="&amp;$H63,$A:$A,"="&amp;L$1)</f>
        <v>1</v>
      </c>
      <c r="M63" s="9">
        <f>SUMIFS($D:$D,$B:$B,"="&amp;$H63,$A:$A,"="&amp;M$1)</f>
        <v>1</v>
      </c>
      <c r="N63" s="9">
        <f>SUMIFS($D:$D,$B:$B,"="&amp;$H63,$A:$A,"="&amp;N$1)</f>
        <v>2</v>
      </c>
      <c r="O63" s="9">
        <f>SUMIFS($D:$D,$B:$B,"="&amp;$H63,$A:$A,"="&amp;O$1)</f>
        <v>2</v>
      </c>
      <c r="P63" s="9">
        <f>SUMIFS($D:$D,$B:$B,"="&amp;$H63,$A:$A,"="&amp;P$1)</f>
        <v>2</v>
      </c>
      <c r="Q63" s="9">
        <f>SUMIFS($D:$D,$B:$B,"="&amp;$H63,$A:$A,"="&amp;Q$1)</f>
        <v>2</v>
      </c>
      <c r="R63" s="9">
        <f>SUMIFS($D:$D,$B:$B,"="&amp;$H63,$A:$A,"="&amp;R$1)</f>
        <v>2</v>
      </c>
      <c r="S63" s="9">
        <f>SUMIFS($D:$D,$B:$B,"="&amp;$H63,$A:$A,"="&amp;S$1)</f>
        <v>2</v>
      </c>
      <c r="T63" s="9">
        <f>SUMIFS($D:$D,$B:$B,"="&amp;$H63,$A:$A,"="&amp;T$1)</f>
        <v>2</v>
      </c>
      <c r="U63" s="9">
        <f>SUMIFS($D:$D,$B:$B,"="&amp;$H63,$A:$A,"="&amp;U$1)</f>
        <v>2</v>
      </c>
      <c r="V63" s="9">
        <f>SUMIFS($D:$D,$B:$B,"="&amp;$H63,$A:$A,"="&amp;V$1)</f>
        <v>2</v>
      </c>
      <c r="W63" s="9">
        <f>SUMIFS($D:$D,$B:$B,"="&amp;$H63,$A:$A,"="&amp;W$1)</f>
        <v>2</v>
      </c>
      <c r="X63" s="9">
        <f>SUMIFS($D:$D,$B:$B,"="&amp;$H63,$A:$A,"="&amp;X$1)</f>
        <v>2</v>
      </c>
      <c r="Y63" s="9">
        <f>SUMIFS($D:$D,$B:$B,"="&amp;$H63,$A:$A,"="&amp;Y$1)</f>
        <v>4</v>
      </c>
      <c r="Z63" s="9">
        <f>SUMIFS($D:$D,$B:$B,"="&amp;$H63,$A:$A,"="&amp;Z$1)</f>
        <v>4</v>
      </c>
      <c r="AA63" s="9">
        <f>SUMIFS($D:$D,$B:$B,"="&amp;$H63,$A:$A,"="&amp;AA$1)</f>
        <v>3</v>
      </c>
      <c r="AB63" s="9">
        <f>SUMIFS($D:$D,$B:$B,"="&amp;$H63,$A:$A,"="&amp;AB$1)</f>
        <v>3</v>
      </c>
      <c r="AC63" s="9">
        <f>SUMIFS($D:$D,$B:$B,"="&amp;$H63,$A:$A,"="&amp;AC$1)</f>
        <v>3</v>
      </c>
      <c r="AD63" s="9">
        <f>SUMIFS($D:$D,$B:$B,"="&amp;$H63,$A:$A,"="&amp;AD$1)</f>
        <v>3</v>
      </c>
      <c r="AE63" s="9">
        <f>SUMIFS($D:$D,$B:$B,"="&amp;$H63,$A:$A,"="&amp;AE$1)</f>
        <v>3</v>
      </c>
      <c r="AF63" s="9">
        <f>SUMIFS($D:$D,$B:$B,"="&amp;$H63,$A:$A,"="&amp;AF$1)</f>
        <v>3</v>
      </c>
      <c r="AH63" s="11">
        <f t="shared" si="3"/>
        <v>3</v>
      </c>
      <c r="AI63" s="11">
        <f t="shared" si="4"/>
        <v>19</v>
      </c>
      <c r="AJ63" s="11">
        <f t="shared" si="5"/>
        <v>1</v>
      </c>
    </row>
    <row r="64" spans="1:36" x14ac:dyDescent="0.25">
      <c r="A64" t="s">
        <v>12</v>
      </c>
      <c r="B64" t="s">
        <v>81</v>
      </c>
      <c r="C64">
        <v>1</v>
      </c>
      <c r="D64">
        <v>13</v>
      </c>
      <c r="E64">
        <v>10</v>
      </c>
      <c r="H64" t="s">
        <v>74</v>
      </c>
      <c r="I64" s="9">
        <f>SUMIFS($D:$D,$B:$B,"="&amp;$H64,$A:$A,"="&amp;I$1)</f>
        <v>0</v>
      </c>
      <c r="J64" s="9">
        <f>SUMIFS($D:$D,$B:$B,"="&amp;$H64,$A:$A,"="&amp;J$1)</f>
        <v>5</v>
      </c>
      <c r="K64" s="9">
        <f>SUMIFS($D:$D,$B:$B,"="&amp;$H64,$A:$A,"="&amp;K$1)</f>
        <v>8</v>
      </c>
      <c r="L64" s="9">
        <f>SUMIFS($D:$D,$B:$B,"="&amp;$H64,$A:$A,"="&amp;L$1)</f>
        <v>9</v>
      </c>
      <c r="M64" s="9">
        <f>SUMIFS($D:$D,$B:$B,"="&amp;$H64,$A:$A,"="&amp;M$1)</f>
        <v>9</v>
      </c>
      <c r="N64" s="9">
        <f>SUMIFS($D:$D,$B:$B,"="&amp;$H64,$A:$A,"="&amp;N$1)</f>
        <v>43</v>
      </c>
      <c r="O64" s="9">
        <f>SUMIFS($D:$D,$B:$B,"="&amp;$H64,$A:$A,"="&amp;O$1)</f>
        <v>43</v>
      </c>
      <c r="P64" s="9">
        <f>SUMIFS($D:$D,$B:$B,"="&amp;$H64,$A:$A,"="&amp;P$1)</f>
        <v>43</v>
      </c>
      <c r="Q64" s="9">
        <f>SUMIFS($D:$D,$B:$B,"="&amp;$H64,$A:$A,"="&amp;Q$1)</f>
        <v>43</v>
      </c>
      <c r="R64" s="9">
        <f>SUMIFS($D:$D,$B:$B,"="&amp;$H64,$A:$A,"="&amp;R$1)</f>
        <v>43</v>
      </c>
      <c r="S64" s="9">
        <f>SUMIFS($D:$D,$B:$B,"="&amp;$H64,$A:$A,"="&amp;S$1)</f>
        <v>67</v>
      </c>
      <c r="T64" s="9">
        <f>SUMIFS($D:$D,$B:$B,"="&amp;$H64,$A:$A,"="&amp;T$1)</f>
        <v>67</v>
      </c>
      <c r="U64" s="9">
        <f>SUMIFS($D:$D,$B:$B,"="&amp;$H64,$A:$A,"="&amp;U$1)</f>
        <v>70</v>
      </c>
      <c r="V64" s="9">
        <f>SUMIFS($D:$D,$B:$B,"="&amp;$H64,$A:$A,"="&amp;V$1)</f>
        <v>70</v>
      </c>
      <c r="W64" s="9">
        <f>SUMIFS($D:$D,$B:$B,"="&amp;$H64,$A:$A,"="&amp;W$1)</f>
        <v>70</v>
      </c>
      <c r="X64" s="9">
        <f>SUMIFS($D:$D,$B:$B,"="&amp;$H64,$A:$A,"="&amp;X$1)</f>
        <v>70</v>
      </c>
      <c r="Y64" s="9">
        <f>SUMIFS($D:$D,$B:$B,"="&amp;$H64,$A:$A,"="&amp;Y$1)</f>
        <v>81</v>
      </c>
      <c r="Z64" s="9">
        <f>SUMIFS($D:$D,$B:$B,"="&amp;$H64,$A:$A,"="&amp;Z$1)</f>
        <v>81</v>
      </c>
      <c r="AA64" s="9">
        <f>SUMIFS($D:$D,$B:$B,"="&amp;$H64,$A:$A,"="&amp;AA$1)</f>
        <v>86</v>
      </c>
      <c r="AB64" s="9">
        <f>SUMIFS($D:$D,$B:$B,"="&amp;$H64,$A:$A,"="&amp;AB$1)</f>
        <v>87</v>
      </c>
      <c r="AC64" s="9">
        <f>SUMIFS($D:$D,$B:$B,"="&amp;$H64,$A:$A,"="&amp;AC$1)</f>
        <v>87</v>
      </c>
      <c r="AD64" s="9">
        <f>SUMIFS($D:$D,$B:$B,"="&amp;$H64,$A:$A,"="&amp;AD$1)</f>
        <v>88</v>
      </c>
      <c r="AE64" s="9">
        <f>SUMIFS($D:$D,$B:$B,"="&amp;$H64,$A:$A,"="&amp;AE$1)</f>
        <v>88</v>
      </c>
      <c r="AF64" s="9">
        <f>SUMIFS($D:$D,$B:$B,"="&amp;$H64,$A:$A,"="&amp;AF$1)</f>
        <v>89</v>
      </c>
      <c r="AH64" s="11">
        <f t="shared" si="3"/>
        <v>11</v>
      </c>
      <c r="AI64" s="11">
        <f t="shared" si="4"/>
        <v>12</v>
      </c>
      <c r="AJ64" s="11">
        <f t="shared" si="5"/>
        <v>0</v>
      </c>
    </row>
    <row r="65" spans="1:36" x14ac:dyDescent="0.25">
      <c r="A65" t="s">
        <v>12</v>
      </c>
      <c r="B65" t="s">
        <v>74</v>
      </c>
      <c r="C65">
        <v>121</v>
      </c>
      <c r="D65">
        <v>43</v>
      </c>
      <c r="E65">
        <v>75</v>
      </c>
      <c r="H65" t="s">
        <v>75</v>
      </c>
      <c r="I65" s="9">
        <f>SUMIFS($D:$D,$B:$B,"="&amp;$H65,$A:$A,"="&amp;I$1)</f>
        <v>0</v>
      </c>
      <c r="J65" s="9">
        <f>SUMIFS($D:$D,$B:$B,"="&amp;$H65,$A:$A,"="&amp;J$1)</f>
        <v>0</v>
      </c>
      <c r="K65" s="9">
        <f>SUMIFS($D:$D,$B:$B,"="&amp;$H65,$A:$A,"="&amp;K$1)</f>
        <v>0</v>
      </c>
      <c r="L65" s="9">
        <f>SUMIFS($D:$D,$B:$B,"="&amp;$H65,$A:$A,"="&amp;L$1)</f>
        <v>0</v>
      </c>
      <c r="M65" s="9">
        <f>SUMIFS($D:$D,$B:$B,"="&amp;$H65,$A:$A,"="&amp;M$1)</f>
        <v>0</v>
      </c>
      <c r="N65" s="9">
        <f>SUMIFS($D:$D,$B:$B,"="&amp;$H65,$A:$A,"="&amp;N$1)</f>
        <v>0</v>
      </c>
      <c r="O65" s="9">
        <f>SUMIFS($D:$D,$B:$B,"="&amp;$H65,$A:$A,"="&amp;O$1)</f>
        <v>0</v>
      </c>
      <c r="P65" s="9">
        <f>SUMIFS($D:$D,$B:$B,"="&amp;$H65,$A:$A,"="&amp;P$1)</f>
        <v>0</v>
      </c>
      <c r="Q65" s="9">
        <f>SUMIFS($D:$D,$B:$B,"="&amp;$H65,$A:$A,"="&amp;Q$1)</f>
        <v>0</v>
      </c>
      <c r="R65" s="9">
        <f>SUMIFS($D:$D,$B:$B,"="&amp;$H65,$A:$A,"="&amp;R$1)</f>
        <v>0</v>
      </c>
      <c r="S65" s="9">
        <f>SUMIFS($D:$D,$B:$B,"="&amp;$H65,$A:$A,"="&amp;S$1)</f>
        <v>0</v>
      </c>
      <c r="T65" s="9">
        <f>SUMIFS($D:$D,$B:$B,"="&amp;$H65,$A:$A,"="&amp;T$1)</f>
        <v>0</v>
      </c>
      <c r="U65" s="9">
        <f>SUMIFS($D:$D,$B:$B,"="&amp;$H65,$A:$A,"="&amp;U$1)</f>
        <v>0</v>
      </c>
      <c r="V65" s="9">
        <f>SUMIFS($D:$D,$B:$B,"="&amp;$H65,$A:$A,"="&amp;V$1)</f>
        <v>0</v>
      </c>
      <c r="W65" s="9">
        <f>SUMIFS($D:$D,$B:$B,"="&amp;$H65,$A:$A,"="&amp;W$1)</f>
        <v>0</v>
      </c>
      <c r="X65" s="9">
        <f>SUMIFS($D:$D,$B:$B,"="&amp;$H65,$A:$A,"="&amp;X$1)</f>
        <v>0</v>
      </c>
      <c r="Y65" s="9">
        <f>SUMIFS($D:$D,$B:$B,"="&amp;$H65,$A:$A,"="&amp;Y$1)</f>
        <v>0</v>
      </c>
      <c r="Z65" s="9">
        <f>SUMIFS($D:$D,$B:$B,"="&amp;$H65,$A:$A,"="&amp;Z$1)</f>
        <v>0</v>
      </c>
      <c r="AA65" s="9">
        <f>SUMIFS($D:$D,$B:$B,"="&amp;$H65,$A:$A,"="&amp;AA$1)</f>
        <v>0</v>
      </c>
      <c r="AB65" s="9">
        <f>SUMIFS($D:$D,$B:$B,"="&amp;$H65,$A:$A,"="&amp;AB$1)</f>
        <v>0</v>
      </c>
      <c r="AC65" s="9">
        <f>SUMIFS($D:$D,$B:$B,"="&amp;$H65,$A:$A,"="&amp;AC$1)</f>
        <v>0</v>
      </c>
      <c r="AD65" s="9">
        <f>SUMIFS($D:$D,$B:$B,"="&amp;$H65,$A:$A,"="&amp;AD$1)</f>
        <v>0</v>
      </c>
      <c r="AE65" s="9">
        <f>SUMIFS($D:$D,$B:$B,"="&amp;$H65,$A:$A,"="&amp;AE$1)</f>
        <v>0</v>
      </c>
      <c r="AF65" s="9">
        <f>SUMIFS($D:$D,$B:$B,"="&amp;$H65,$A:$A,"="&amp;AF$1)</f>
        <v>0</v>
      </c>
      <c r="AH65" s="11">
        <f t="shared" si="3"/>
        <v>0</v>
      </c>
      <c r="AI65" s="11">
        <f t="shared" si="4"/>
        <v>23</v>
      </c>
      <c r="AJ65" s="11">
        <f t="shared" si="5"/>
        <v>0</v>
      </c>
    </row>
    <row r="66" spans="1:36" x14ac:dyDescent="0.25">
      <c r="A66" t="s">
        <v>12</v>
      </c>
      <c r="B66" t="s">
        <v>89</v>
      </c>
      <c r="C66">
        <v>3</v>
      </c>
      <c r="D66">
        <v>14</v>
      </c>
      <c r="E66">
        <v>77</v>
      </c>
      <c r="H66" t="s">
        <v>63</v>
      </c>
      <c r="I66" s="9">
        <f>SUMIFS($D:$D,$B:$B,"="&amp;$H66,$A:$A,"="&amp;I$1)</f>
        <v>15</v>
      </c>
      <c r="J66" s="9">
        <f>SUMIFS($D:$D,$B:$B,"="&amp;$H66,$A:$A,"="&amp;J$1)</f>
        <v>28</v>
      </c>
      <c r="K66" s="9">
        <f>SUMIFS($D:$D,$B:$B,"="&amp;$H66,$A:$A,"="&amp;K$1)</f>
        <v>40</v>
      </c>
      <c r="L66" s="9">
        <f>SUMIFS($D:$D,$B:$B,"="&amp;$H66,$A:$A,"="&amp;L$1)</f>
        <v>55</v>
      </c>
      <c r="M66" s="9">
        <f>SUMIFS($D:$D,$B:$B,"="&amp;$H66,$A:$A,"="&amp;M$1)</f>
        <v>55</v>
      </c>
      <c r="N66" s="9">
        <f>SUMIFS($D:$D,$B:$B,"="&amp;$H66,$A:$A,"="&amp;N$1)</f>
        <v>92</v>
      </c>
      <c r="O66" s="9">
        <f>SUMIFS($D:$D,$B:$B,"="&amp;$H66,$A:$A,"="&amp;O$1)</f>
        <v>92</v>
      </c>
      <c r="P66" s="9">
        <f>SUMIFS($D:$D,$B:$B,"="&amp;$H66,$A:$A,"="&amp;P$1)</f>
        <v>95</v>
      </c>
      <c r="Q66" s="9">
        <f>SUMIFS($D:$D,$B:$B,"="&amp;$H66,$A:$A,"="&amp;Q$1)</f>
        <v>95</v>
      </c>
      <c r="R66" s="9">
        <f>SUMIFS($D:$D,$B:$B,"="&amp;$H66,$A:$A,"="&amp;R$1)</f>
        <v>95</v>
      </c>
      <c r="S66" s="9">
        <f>SUMIFS($D:$D,$B:$B,"="&amp;$H66,$A:$A,"="&amp;S$1)</f>
        <v>112</v>
      </c>
      <c r="T66" s="9">
        <f>SUMIFS($D:$D,$B:$B,"="&amp;$H66,$A:$A,"="&amp;T$1)</f>
        <v>112</v>
      </c>
      <c r="U66" s="9">
        <f>SUMIFS($D:$D,$B:$B,"="&amp;$H66,$A:$A,"="&amp;U$1)</f>
        <v>121</v>
      </c>
      <c r="V66" s="9">
        <f>SUMIFS($D:$D,$B:$B,"="&amp;$H66,$A:$A,"="&amp;V$1)</f>
        <v>124</v>
      </c>
      <c r="W66" s="9">
        <f>SUMIFS($D:$D,$B:$B,"="&amp;$H66,$A:$A,"="&amp;W$1)</f>
        <v>124</v>
      </c>
      <c r="X66" s="9">
        <f>SUMIFS($D:$D,$B:$B,"="&amp;$H66,$A:$A,"="&amp;X$1)</f>
        <v>124</v>
      </c>
      <c r="Y66" s="9">
        <f>SUMIFS($D:$D,$B:$B,"="&amp;$H66,$A:$A,"="&amp;Y$1)</f>
        <v>166</v>
      </c>
      <c r="Z66" s="9">
        <f>SUMIFS($D:$D,$B:$B,"="&amp;$H66,$A:$A,"="&amp;Z$1)</f>
        <v>166</v>
      </c>
      <c r="AA66" s="9">
        <f>SUMIFS($D:$D,$B:$B,"="&amp;$H66,$A:$A,"="&amp;AA$1)</f>
        <v>184</v>
      </c>
      <c r="AB66" s="9">
        <f>SUMIFS($D:$D,$B:$B,"="&amp;$H66,$A:$A,"="&amp;AB$1)</f>
        <v>187</v>
      </c>
      <c r="AC66" s="9">
        <f>SUMIFS($D:$D,$B:$B,"="&amp;$H66,$A:$A,"="&amp;AC$1)</f>
        <v>191</v>
      </c>
      <c r="AD66" s="9">
        <f>SUMIFS($D:$D,$B:$B,"="&amp;$H66,$A:$A,"="&amp;AD$1)</f>
        <v>192</v>
      </c>
      <c r="AE66" s="9">
        <f>SUMIFS($D:$D,$B:$B,"="&amp;$H66,$A:$A,"="&amp;AE$1)</f>
        <v>192</v>
      </c>
      <c r="AF66" s="9">
        <f>SUMIFS($D:$D,$B:$B,"="&amp;$H66,$A:$A,"="&amp;AF$1)</f>
        <v>195</v>
      </c>
      <c r="AH66" s="11">
        <f t="shared" si="3"/>
        <v>14</v>
      </c>
      <c r="AI66" s="11">
        <f t="shared" si="4"/>
        <v>9</v>
      </c>
      <c r="AJ66" s="11">
        <f t="shared" si="5"/>
        <v>0</v>
      </c>
    </row>
    <row r="67" spans="1:36" x14ac:dyDescent="0.25">
      <c r="A67" t="s">
        <v>12</v>
      </c>
      <c r="B67" t="s">
        <v>77</v>
      </c>
      <c r="C67">
        <v>59</v>
      </c>
      <c r="D67">
        <v>8</v>
      </c>
      <c r="E67">
        <v>12</v>
      </c>
      <c r="H67" t="s">
        <v>64</v>
      </c>
      <c r="I67" s="9">
        <f>SUMIFS($D:$D,$B:$B,"="&amp;$H67,$A:$A,"="&amp;I$1)</f>
        <v>0</v>
      </c>
      <c r="J67" s="9">
        <f>SUMIFS($D:$D,$B:$B,"="&amp;$H67,$A:$A,"="&amp;J$1)</f>
        <v>2</v>
      </c>
      <c r="K67" s="9">
        <f>SUMIFS($D:$D,$B:$B,"="&amp;$H67,$A:$A,"="&amp;K$1)</f>
        <v>3</v>
      </c>
      <c r="L67" s="9">
        <f>SUMIFS($D:$D,$B:$B,"="&amp;$H67,$A:$A,"="&amp;L$1)</f>
        <v>8</v>
      </c>
      <c r="M67" s="9">
        <f>SUMIFS($D:$D,$B:$B,"="&amp;$H67,$A:$A,"="&amp;M$1)</f>
        <v>8</v>
      </c>
      <c r="N67" s="9">
        <f>SUMIFS($D:$D,$B:$B,"="&amp;$H67,$A:$A,"="&amp;N$1)</f>
        <v>18</v>
      </c>
      <c r="O67" s="9">
        <f>SUMIFS($D:$D,$B:$B,"="&amp;$H67,$A:$A,"="&amp;O$1)</f>
        <v>18</v>
      </c>
      <c r="P67" s="9">
        <f>SUMIFS($D:$D,$B:$B,"="&amp;$H67,$A:$A,"="&amp;P$1)</f>
        <v>20</v>
      </c>
      <c r="Q67" s="9">
        <f>SUMIFS($D:$D,$B:$B,"="&amp;$H67,$A:$A,"="&amp;Q$1)</f>
        <v>20</v>
      </c>
      <c r="R67" s="9">
        <f>SUMIFS($D:$D,$B:$B,"="&amp;$H67,$A:$A,"="&amp;R$1)</f>
        <v>20</v>
      </c>
      <c r="S67" s="9">
        <f>SUMIFS($D:$D,$B:$B,"="&amp;$H67,$A:$A,"="&amp;S$1)</f>
        <v>31</v>
      </c>
      <c r="T67" s="9">
        <f>SUMIFS($D:$D,$B:$B,"="&amp;$H67,$A:$A,"="&amp;T$1)</f>
        <v>31</v>
      </c>
      <c r="U67" s="9">
        <f>SUMIFS($D:$D,$B:$B,"="&amp;$H67,$A:$A,"="&amp;U$1)</f>
        <v>29</v>
      </c>
      <c r="V67" s="9">
        <f>SUMIFS($D:$D,$B:$B,"="&amp;$H67,$A:$A,"="&amp;V$1)</f>
        <v>29</v>
      </c>
      <c r="W67" s="9">
        <f>SUMIFS($D:$D,$B:$B,"="&amp;$H67,$A:$A,"="&amp;W$1)</f>
        <v>29</v>
      </c>
      <c r="X67" s="9">
        <f>SUMIFS($D:$D,$B:$B,"="&amp;$H67,$A:$A,"="&amp;X$1)</f>
        <v>29</v>
      </c>
      <c r="Y67" s="9">
        <f>SUMIFS($D:$D,$B:$B,"="&amp;$H67,$A:$A,"="&amp;Y$1)</f>
        <v>36</v>
      </c>
      <c r="Z67" s="9">
        <f>SUMIFS($D:$D,$B:$B,"="&amp;$H67,$A:$A,"="&amp;Z$1)</f>
        <v>36</v>
      </c>
      <c r="AA67" s="9">
        <f>SUMIFS($D:$D,$B:$B,"="&amp;$H67,$A:$A,"="&amp;AA$1)</f>
        <v>47</v>
      </c>
      <c r="AB67" s="9">
        <f>SUMIFS($D:$D,$B:$B,"="&amp;$H67,$A:$A,"="&amp;AB$1)</f>
        <v>44</v>
      </c>
      <c r="AC67" s="9">
        <f>SUMIFS($D:$D,$B:$B,"="&amp;$H67,$A:$A,"="&amp;AC$1)</f>
        <v>46</v>
      </c>
      <c r="AD67" s="9">
        <f>SUMIFS($D:$D,$B:$B,"="&amp;$H67,$A:$A,"="&amp;AD$1)</f>
        <v>49</v>
      </c>
      <c r="AE67" s="9">
        <f>SUMIFS($D:$D,$B:$B,"="&amp;$H67,$A:$A,"="&amp;AE$1)</f>
        <v>49</v>
      </c>
      <c r="AF67" s="9">
        <f>SUMIFS($D:$D,$B:$B,"="&amp;$H67,$A:$A,"="&amp;AF$1)</f>
        <v>58</v>
      </c>
      <c r="AH67" s="11">
        <f t="shared" si="3"/>
        <v>11</v>
      </c>
      <c r="AI67" s="11">
        <f t="shared" si="4"/>
        <v>10</v>
      </c>
      <c r="AJ67" s="11">
        <f t="shared" si="5"/>
        <v>2</v>
      </c>
    </row>
    <row r="68" spans="1:36" x14ac:dyDescent="0.25">
      <c r="A68" t="s">
        <v>12</v>
      </c>
      <c r="B68" t="s">
        <v>90</v>
      </c>
      <c r="C68">
        <v>4</v>
      </c>
      <c r="D68">
        <v>2</v>
      </c>
      <c r="E68">
        <v>1</v>
      </c>
      <c r="H68" t="s">
        <v>65</v>
      </c>
      <c r="I68" s="9">
        <f>SUMIFS($D:$D,$B:$B,"="&amp;$H68,$A:$A,"="&amp;I$1)</f>
        <v>0</v>
      </c>
      <c r="J68" s="9">
        <f>SUMIFS($D:$D,$B:$B,"="&amp;$H68,$A:$A,"="&amp;J$1)</f>
        <v>0</v>
      </c>
      <c r="K68" s="9">
        <f>SUMIFS($D:$D,$B:$B,"="&amp;$H68,$A:$A,"="&amp;K$1)</f>
        <v>0</v>
      </c>
      <c r="L68" s="9">
        <f>SUMIFS($D:$D,$B:$B,"="&amp;$H68,$A:$A,"="&amp;L$1)</f>
        <v>0</v>
      </c>
      <c r="M68" s="9">
        <f>SUMIFS($D:$D,$B:$B,"="&amp;$H68,$A:$A,"="&amp;M$1)</f>
        <v>0</v>
      </c>
      <c r="N68" s="9">
        <f>SUMIFS($D:$D,$B:$B,"="&amp;$H68,$A:$A,"="&amp;N$1)</f>
        <v>0</v>
      </c>
      <c r="O68" s="9">
        <f>SUMIFS($D:$D,$B:$B,"="&amp;$H68,$A:$A,"="&amp;O$1)</f>
        <v>0</v>
      </c>
      <c r="P68" s="9">
        <f>SUMIFS($D:$D,$B:$B,"="&amp;$H68,$A:$A,"="&amp;P$1)</f>
        <v>0</v>
      </c>
      <c r="Q68" s="9">
        <f>SUMIFS($D:$D,$B:$B,"="&amp;$H68,$A:$A,"="&amp;Q$1)</f>
        <v>0</v>
      </c>
      <c r="R68" s="9">
        <f>SUMIFS($D:$D,$B:$B,"="&amp;$H68,$A:$A,"="&amp;R$1)</f>
        <v>0</v>
      </c>
      <c r="S68" s="9">
        <f>SUMIFS($D:$D,$B:$B,"="&amp;$H68,$A:$A,"="&amp;S$1)</f>
        <v>0</v>
      </c>
      <c r="T68" s="9">
        <f>SUMIFS($D:$D,$B:$B,"="&amp;$H68,$A:$A,"="&amp;T$1)</f>
        <v>0</v>
      </c>
      <c r="U68" s="9">
        <f>SUMIFS($D:$D,$B:$B,"="&amp;$H68,$A:$A,"="&amp;U$1)</f>
        <v>0</v>
      </c>
      <c r="V68" s="9">
        <f>SUMIFS($D:$D,$B:$B,"="&amp;$H68,$A:$A,"="&amp;V$1)</f>
        <v>0</v>
      </c>
      <c r="W68" s="9">
        <f>SUMIFS($D:$D,$B:$B,"="&amp;$H68,$A:$A,"="&amp;W$1)</f>
        <v>0</v>
      </c>
      <c r="X68" s="9">
        <f>SUMIFS($D:$D,$B:$B,"="&amp;$H68,$A:$A,"="&amp;X$1)</f>
        <v>0</v>
      </c>
      <c r="Y68" s="9">
        <f>SUMIFS($D:$D,$B:$B,"="&amp;$H68,$A:$A,"="&amp;Y$1)</f>
        <v>0</v>
      </c>
      <c r="Z68" s="9">
        <f>SUMIFS($D:$D,$B:$B,"="&amp;$H68,$A:$A,"="&amp;Z$1)</f>
        <v>0</v>
      </c>
      <c r="AA68" s="9">
        <f>SUMIFS($D:$D,$B:$B,"="&amp;$H68,$A:$A,"="&amp;AA$1)</f>
        <v>0</v>
      </c>
      <c r="AB68" s="9">
        <f>SUMIFS($D:$D,$B:$B,"="&amp;$H68,$A:$A,"="&amp;AB$1)</f>
        <v>0</v>
      </c>
      <c r="AC68" s="9">
        <f>SUMIFS($D:$D,$B:$B,"="&amp;$H68,$A:$A,"="&amp;AC$1)</f>
        <v>0</v>
      </c>
      <c r="AD68" s="9">
        <f>SUMIFS($D:$D,$B:$B,"="&amp;$H68,$A:$A,"="&amp;AD$1)</f>
        <v>0</v>
      </c>
      <c r="AE68" s="9">
        <f>SUMIFS($D:$D,$B:$B,"="&amp;$H68,$A:$A,"="&amp;AE$1)</f>
        <v>0</v>
      </c>
      <c r="AF68" s="9">
        <f>SUMIFS($D:$D,$B:$B,"="&amp;$H68,$A:$A,"="&amp;AF$1)</f>
        <v>2</v>
      </c>
      <c r="AH68" s="11">
        <f t="shared" si="3"/>
        <v>1</v>
      </c>
      <c r="AI68" s="11">
        <f t="shared" si="4"/>
        <v>22</v>
      </c>
      <c r="AJ68" s="11">
        <f t="shared" si="5"/>
        <v>0</v>
      </c>
    </row>
    <row r="69" spans="1:36" x14ac:dyDescent="0.25">
      <c r="A69" t="s">
        <v>12</v>
      </c>
      <c r="B69" t="s">
        <v>78</v>
      </c>
      <c r="C69">
        <v>3</v>
      </c>
      <c r="D69">
        <v>2</v>
      </c>
      <c r="E69">
        <v>5</v>
      </c>
    </row>
    <row r="70" spans="1:36" x14ac:dyDescent="0.25">
      <c r="A70" t="s">
        <v>12</v>
      </c>
      <c r="B70" t="s">
        <v>91</v>
      </c>
      <c r="C70">
        <v>4</v>
      </c>
      <c r="D70">
        <v>0</v>
      </c>
      <c r="E70">
        <v>9</v>
      </c>
    </row>
    <row r="71" spans="1:36" x14ac:dyDescent="0.25">
      <c r="A71" t="s">
        <v>12</v>
      </c>
      <c r="B71" t="s">
        <v>75</v>
      </c>
      <c r="C71">
        <v>2</v>
      </c>
      <c r="D71">
        <v>0</v>
      </c>
      <c r="E71">
        <v>3</v>
      </c>
      <c r="H71" t="s">
        <v>128</v>
      </c>
      <c r="I71" s="3" t="s">
        <v>7</v>
      </c>
      <c r="J71" s="3" t="s">
        <v>8</v>
      </c>
      <c r="K71" s="3" t="s">
        <v>9</v>
      </c>
      <c r="L71" s="3" t="s">
        <v>10</v>
      </c>
      <c r="M71" s="3" t="s">
        <v>11</v>
      </c>
      <c r="N71" s="3" t="s">
        <v>12</v>
      </c>
      <c r="O71" s="3" t="s">
        <v>13</v>
      </c>
      <c r="P71" s="3" t="s">
        <v>14</v>
      </c>
      <c r="Q71" s="3" t="s">
        <v>15</v>
      </c>
      <c r="R71" s="3" t="s">
        <v>16</v>
      </c>
      <c r="S71" s="3" t="s">
        <v>17</v>
      </c>
      <c r="T71" s="3" t="s">
        <v>18</v>
      </c>
      <c r="U71" s="3" t="s">
        <v>19</v>
      </c>
      <c r="V71" s="3" t="s">
        <v>20</v>
      </c>
      <c r="W71" s="3" t="s">
        <v>21</v>
      </c>
      <c r="X71" s="3" t="s">
        <v>22</v>
      </c>
      <c r="Y71" s="3" t="s">
        <v>23</v>
      </c>
      <c r="Z71" s="3" t="s">
        <v>24</v>
      </c>
      <c r="AA71" s="3" t="s">
        <v>25</v>
      </c>
      <c r="AB71" s="3" t="s">
        <v>26</v>
      </c>
      <c r="AC71" s="3" t="s">
        <v>27</v>
      </c>
      <c r="AD71" s="3" t="s">
        <v>28</v>
      </c>
      <c r="AE71" s="3" t="s">
        <v>29</v>
      </c>
      <c r="AF71" s="3" t="s">
        <v>30</v>
      </c>
    </row>
    <row r="72" spans="1:36" x14ac:dyDescent="0.25">
      <c r="A72" t="s">
        <v>12</v>
      </c>
      <c r="B72" t="s">
        <v>65</v>
      </c>
      <c r="C72">
        <v>2</v>
      </c>
      <c r="D72">
        <v>0</v>
      </c>
      <c r="E72">
        <v>6</v>
      </c>
      <c r="H72" t="s">
        <v>93</v>
      </c>
      <c r="I72" s="9">
        <f>SUMIFS($E:$E,$B:$B,"="&amp;$H72,$A:$A,"="&amp;I$1)</f>
        <v>0</v>
      </c>
      <c r="J72" s="9">
        <f>SUMIFS($E:$E,$B:$B,"="&amp;$H72,$A:$A,"="&amp;J$1)</f>
        <v>0</v>
      </c>
      <c r="K72" s="9">
        <f>SUMIFS($E:$E,$B:$B,"="&amp;$H72,$A:$A,"="&amp;K$1)</f>
        <v>0</v>
      </c>
      <c r="L72" s="9">
        <f>SUMIFS($E:$E,$B:$B,"="&amp;$H72,$A:$A,"="&amp;L$1)</f>
        <v>0</v>
      </c>
      <c r="M72" s="9">
        <f>SUMIFS($E:$E,$B:$B,"="&amp;$H72,$A:$A,"="&amp;M$1)</f>
        <v>0</v>
      </c>
      <c r="N72" s="9">
        <f>SUMIFS($E:$E,$B:$B,"="&amp;$H72,$A:$A,"="&amp;N$1)</f>
        <v>0</v>
      </c>
      <c r="O72" s="9">
        <f>SUMIFS($E:$E,$B:$B,"="&amp;$H72,$A:$A,"="&amp;O$1)</f>
        <v>0</v>
      </c>
      <c r="P72" s="9">
        <f>SUMIFS($E:$E,$B:$B,"="&amp;$H72,$A:$A,"="&amp;P$1)</f>
        <v>0</v>
      </c>
      <c r="Q72" s="9">
        <f>SUMIFS($E:$E,$B:$B,"="&amp;$H72,$A:$A,"="&amp;Q$1)</f>
        <v>0</v>
      </c>
      <c r="R72" s="9">
        <f>SUMIFS($E:$E,$B:$B,"="&amp;$H72,$A:$A,"="&amp;R$1)</f>
        <v>0</v>
      </c>
      <c r="S72" s="9">
        <f>SUMIFS($E:$E,$B:$B,"="&amp;$H72,$A:$A,"="&amp;S$1)</f>
        <v>2</v>
      </c>
      <c r="T72" s="9">
        <f>SUMIFS($E:$E,$B:$B,"="&amp;$H72,$A:$A,"="&amp;T$1)</f>
        <v>2</v>
      </c>
      <c r="U72" s="9">
        <f>SUMIFS($E:$E,$B:$B,"="&amp;$H72,$A:$A,"="&amp;U$1)</f>
        <v>2</v>
      </c>
      <c r="V72" s="9">
        <f>SUMIFS($E:$E,$B:$B,"="&amp;$H72,$A:$A,"="&amp;V$1)</f>
        <v>2</v>
      </c>
      <c r="W72" s="9">
        <f>SUMIFS($E:$E,$B:$B,"="&amp;$H72,$A:$A,"="&amp;W$1)</f>
        <v>2</v>
      </c>
      <c r="X72" s="9">
        <f>SUMIFS($E:$E,$B:$B,"="&amp;$H72,$A:$A,"="&amp;X$1)</f>
        <v>2</v>
      </c>
      <c r="Y72" s="9">
        <f>SUMIFS($E:$E,$B:$B,"="&amp;$H72,$A:$A,"="&amp;Y$1)</f>
        <v>0</v>
      </c>
      <c r="Z72" s="9">
        <f>SUMIFS($E:$E,$B:$B,"="&amp;$H72,$A:$A,"="&amp;Z$1)</f>
        <v>0</v>
      </c>
      <c r="AA72" s="9">
        <f>SUMIFS($E:$E,$B:$B,"="&amp;$H72,$A:$A,"="&amp;AA$1)</f>
        <v>0</v>
      </c>
      <c r="AB72" s="9">
        <f>SUMIFS($E:$E,$B:$B,"="&amp;$H72,$A:$A,"="&amp;AB$1)</f>
        <v>0</v>
      </c>
      <c r="AC72" s="9">
        <f>SUMIFS($E:$E,$B:$B,"="&amp;$H72,$A:$A,"="&amp;AC$1)</f>
        <v>0</v>
      </c>
      <c r="AD72" s="9">
        <f>SUMIFS($E:$E,$B:$B,"="&amp;$H72,$A:$A,"="&amp;AD$1)</f>
        <v>0</v>
      </c>
      <c r="AE72" s="9">
        <f>SUMIFS($E:$E,$B:$B,"="&amp;$H72,$A:$A,"="&amp;AE$1)</f>
        <v>0</v>
      </c>
      <c r="AF72" s="9">
        <f>SUMIFS($E:$E,$B:$B,"="&amp;$H72,$A:$A,"="&amp;AF$1)</f>
        <v>0</v>
      </c>
      <c r="AH72" s="11">
        <f>Crescimentos(I72:AF72)</f>
        <v>1</v>
      </c>
      <c r="AI72" s="11">
        <f>Estabilizacoes(I72:AF72)</f>
        <v>21</v>
      </c>
      <c r="AJ72" s="11">
        <f>Reducoes(I72:AF72)</f>
        <v>1</v>
      </c>
    </row>
    <row r="73" spans="1:36" x14ac:dyDescent="0.25">
      <c r="A73" t="s">
        <v>12</v>
      </c>
      <c r="B73" t="s">
        <v>82</v>
      </c>
      <c r="C73">
        <v>4</v>
      </c>
      <c r="D73">
        <v>0</v>
      </c>
      <c r="E73">
        <v>16</v>
      </c>
      <c r="H73" t="s">
        <v>101</v>
      </c>
      <c r="I73" s="9">
        <f>SUMIFS($E:$E,$B:$B,"="&amp;$H73,$A:$A,"="&amp;I$1)</f>
        <v>0</v>
      </c>
      <c r="J73" s="9">
        <f>SUMIFS($E:$E,$B:$B,"="&amp;$H73,$A:$A,"="&amp;J$1)</f>
        <v>0</v>
      </c>
      <c r="K73" s="9">
        <f>SUMIFS($E:$E,$B:$B,"="&amp;$H73,$A:$A,"="&amp;K$1)</f>
        <v>0</v>
      </c>
      <c r="L73" s="9">
        <f>SUMIFS($E:$E,$B:$B,"="&amp;$H73,$A:$A,"="&amp;L$1)</f>
        <v>0</v>
      </c>
      <c r="M73" s="9">
        <f>SUMIFS($E:$E,$B:$B,"="&amp;$H73,$A:$A,"="&amp;M$1)</f>
        <v>0</v>
      </c>
      <c r="N73" s="9">
        <f>SUMIFS($E:$E,$B:$B,"="&amp;$H73,$A:$A,"="&amp;N$1)</f>
        <v>0</v>
      </c>
      <c r="O73" s="9">
        <f>SUMIFS($E:$E,$B:$B,"="&amp;$H73,$A:$A,"="&amp;O$1)</f>
        <v>0</v>
      </c>
      <c r="P73" s="9">
        <f>SUMIFS($E:$E,$B:$B,"="&amp;$H73,$A:$A,"="&amp;P$1)</f>
        <v>0</v>
      </c>
      <c r="Q73" s="9">
        <f>SUMIFS($E:$E,$B:$B,"="&amp;$H73,$A:$A,"="&amp;Q$1)</f>
        <v>0</v>
      </c>
      <c r="R73" s="9">
        <f>SUMIFS($E:$E,$B:$B,"="&amp;$H73,$A:$A,"="&amp;R$1)</f>
        <v>0</v>
      </c>
      <c r="S73" s="9">
        <f>SUMIFS($E:$E,$B:$B,"="&amp;$H73,$A:$A,"="&amp;S$1)</f>
        <v>0</v>
      </c>
      <c r="T73" s="9">
        <f>SUMIFS($E:$E,$B:$B,"="&amp;$H73,$A:$A,"="&amp;T$1)</f>
        <v>0</v>
      </c>
      <c r="U73" s="9">
        <f>SUMIFS($E:$E,$B:$B,"="&amp;$H73,$A:$A,"="&amp;U$1)</f>
        <v>0</v>
      </c>
      <c r="V73" s="9">
        <f>SUMIFS($E:$E,$B:$B,"="&amp;$H73,$A:$A,"="&amp;V$1)</f>
        <v>0</v>
      </c>
      <c r="W73" s="9">
        <f>SUMIFS($E:$E,$B:$B,"="&amp;$H73,$A:$A,"="&amp;W$1)</f>
        <v>0</v>
      </c>
      <c r="X73" s="9">
        <f>SUMIFS($E:$E,$B:$B,"="&amp;$H73,$A:$A,"="&amp;X$1)</f>
        <v>0</v>
      </c>
      <c r="Y73" s="9">
        <f>SUMIFS($E:$E,$B:$B,"="&amp;$H73,$A:$A,"="&amp;Y$1)</f>
        <v>0</v>
      </c>
      <c r="Z73" s="9">
        <f>SUMIFS($E:$E,$B:$B,"="&amp;$H73,$A:$A,"="&amp;Z$1)</f>
        <v>0</v>
      </c>
      <c r="AA73" s="9">
        <f>SUMIFS($E:$E,$B:$B,"="&amp;$H73,$A:$A,"="&amp;AA$1)</f>
        <v>8</v>
      </c>
      <c r="AB73" s="9">
        <f>SUMIFS($E:$E,$B:$B,"="&amp;$H73,$A:$A,"="&amp;AB$1)</f>
        <v>8</v>
      </c>
      <c r="AC73" s="9">
        <f>SUMIFS($E:$E,$B:$B,"="&amp;$H73,$A:$A,"="&amp;AC$1)</f>
        <v>8</v>
      </c>
      <c r="AD73" s="9">
        <f>SUMIFS($E:$E,$B:$B,"="&amp;$H73,$A:$A,"="&amp;AD$1)</f>
        <v>8</v>
      </c>
      <c r="AE73" s="9">
        <f>SUMIFS($E:$E,$B:$B,"="&amp;$H73,$A:$A,"="&amp;AE$1)</f>
        <v>8</v>
      </c>
      <c r="AF73" s="9">
        <f>SUMIFS($E:$E,$B:$B,"="&amp;$H73,$A:$A,"="&amp;AF$1)</f>
        <v>9</v>
      </c>
      <c r="AH73" s="11">
        <f t="shared" ref="AH73:AH103" si="6">Crescimentos(I73:AF73)</f>
        <v>2</v>
      </c>
      <c r="AI73" s="11">
        <f t="shared" ref="AI73:AI103" si="7">Estabilizacoes(I73:AF73)</f>
        <v>21</v>
      </c>
      <c r="AJ73" s="11">
        <f t="shared" ref="AJ73:AJ103" si="8">Reducoes(I73:AF73)</f>
        <v>0</v>
      </c>
    </row>
    <row r="74" spans="1:36" x14ac:dyDescent="0.25">
      <c r="A74" t="s">
        <v>13</v>
      </c>
      <c r="B74" t="s">
        <v>64</v>
      </c>
      <c r="C74">
        <v>212</v>
      </c>
      <c r="D74">
        <v>18</v>
      </c>
      <c r="E74">
        <v>165</v>
      </c>
      <c r="H74" t="s">
        <v>66</v>
      </c>
      <c r="I74" s="9">
        <f>SUMIFS($E:$E,$B:$B,"="&amp;$H74,$A:$A,"="&amp;I$1)</f>
        <v>0</v>
      </c>
      <c r="J74" s="9">
        <f>SUMIFS($E:$E,$B:$B,"="&amp;$H74,$A:$A,"="&amp;J$1)</f>
        <v>0</v>
      </c>
      <c r="K74" s="9">
        <f>SUMIFS($E:$E,$B:$B,"="&amp;$H74,$A:$A,"="&amp;K$1)</f>
        <v>0</v>
      </c>
      <c r="L74" s="9">
        <f>SUMIFS($E:$E,$B:$B,"="&amp;$H74,$A:$A,"="&amp;L$1)</f>
        <v>0</v>
      </c>
      <c r="M74" s="9">
        <f>SUMIFS($E:$E,$B:$B,"="&amp;$H74,$A:$A,"="&amp;M$1)</f>
        <v>0</v>
      </c>
      <c r="N74" s="9">
        <f>SUMIFS($E:$E,$B:$B,"="&amp;$H74,$A:$A,"="&amp;N$1)</f>
        <v>0</v>
      </c>
      <c r="O74" s="9">
        <f>SUMIFS($E:$E,$B:$B,"="&amp;$H74,$A:$A,"="&amp;O$1)</f>
        <v>0</v>
      </c>
      <c r="P74" s="9">
        <f>SUMIFS($E:$E,$B:$B,"="&amp;$H74,$A:$A,"="&amp;P$1)</f>
        <v>0</v>
      </c>
      <c r="Q74" s="9">
        <f>SUMIFS($E:$E,$B:$B,"="&amp;$H74,$A:$A,"="&amp;Q$1)</f>
        <v>0</v>
      </c>
      <c r="R74" s="9">
        <f>SUMIFS($E:$E,$B:$B,"="&amp;$H74,$A:$A,"="&amp;R$1)</f>
        <v>0</v>
      </c>
      <c r="S74" s="9">
        <f>SUMIFS($E:$E,$B:$B,"="&amp;$H74,$A:$A,"="&amp;S$1)</f>
        <v>0</v>
      </c>
      <c r="T74" s="9">
        <f>SUMIFS($E:$E,$B:$B,"="&amp;$H74,$A:$A,"="&amp;T$1)</f>
        <v>0</v>
      </c>
      <c r="U74" s="9">
        <f>SUMIFS($E:$E,$B:$B,"="&amp;$H74,$A:$A,"="&amp;U$1)</f>
        <v>0</v>
      </c>
      <c r="V74" s="9">
        <f>SUMIFS($E:$E,$B:$B,"="&amp;$H74,$A:$A,"="&amp;V$1)</f>
        <v>0</v>
      </c>
      <c r="W74" s="9">
        <f>SUMIFS($E:$E,$B:$B,"="&amp;$H74,$A:$A,"="&amp;W$1)</f>
        <v>0</v>
      </c>
      <c r="X74" s="9">
        <f>SUMIFS($E:$E,$B:$B,"="&amp;$H74,$A:$A,"="&amp;X$1)</f>
        <v>0</v>
      </c>
      <c r="Y74" s="9">
        <f>SUMIFS($E:$E,$B:$B,"="&amp;$H74,$A:$A,"="&amp;Y$1)</f>
        <v>0</v>
      </c>
      <c r="Z74" s="9">
        <f>SUMIFS($E:$E,$B:$B,"="&amp;$H74,$A:$A,"="&amp;Z$1)</f>
        <v>0</v>
      </c>
      <c r="AA74" s="9">
        <f>SUMIFS($E:$E,$B:$B,"="&amp;$H74,$A:$A,"="&amp;AA$1)</f>
        <v>0</v>
      </c>
      <c r="AB74" s="9">
        <f>SUMIFS($E:$E,$B:$B,"="&amp;$H74,$A:$A,"="&amp;AB$1)</f>
        <v>0</v>
      </c>
      <c r="AC74" s="9">
        <f>SUMIFS($E:$E,$B:$B,"="&amp;$H74,$A:$A,"="&amp;AC$1)</f>
        <v>37</v>
      </c>
      <c r="AD74" s="9">
        <f>SUMIFS($E:$E,$B:$B,"="&amp;$H74,$A:$A,"="&amp;AD$1)</f>
        <v>37</v>
      </c>
      <c r="AE74" s="9">
        <f>SUMIFS($E:$E,$B:$B,"="&amp;$H74,$A:$A,"="&amp;AE$1)</f>
        <v>37</v>
      </c>
      <c r="AF74" s="9">
        <f>SUMIFS($E:$E,$B:$B,"="&amp;$H74,$A:$A,"="&amp;AF$1)</f>
        <v>37</v>
      </c>
      <c r="AH74" s="11">
        <f t="shared" si="6"/>
        <v>1</v>
      </c>
      <c r="AI74" s="11">
        <f t="shared" si="7"/>
        <v>22</v>
      </c>
      <c r="AJ74" s="11">
        <f t="shared" si="8"/>
        <v>0</v>
      </c>
    </row>
    <row r="75" spans="1:36" x14ac:dyDescent="0.25">
      <c r="A75" t="s">
        <v>13</v>
      </c>
      <c r="B75" t="s">
        <v>83</v>
      </c>
      <c r="C75">
        <v>3</v>
      </c>
      <c r="D75">
        <v>8</v>
      </c>
      <c r="E75">
        <v>40</v>
      </c>
      <c r="H75" t="s">
        <v>96</v>
      </c>
      <c r="I75" s="9">
        <f>SUMIFS($E:$E,$B:$B,"="&amp;$H75,$A:$A,"="&amp;I$1)</f>
        <v>0</v>
      </c>
      <c r="J75" s="9">
        <f>SUMIFS($E:$E,$B:$B,"="&amp;$H75,$A:$A,"="&amp;J$1)</f>
        <v>0</v>
      </c>
      <c r="K75" s="9">
        <f>SUMIFS($E:$E,$B:$B,"="&amp;$H75,$A:$A,"="&amp;K$1)</f>
        <v>0</v>
      </c>
      <c r="L75" s="9">
        <f>SUMIFS($E:$E,$B:$B,"="&amp;$H75,$A:$A,"="&amp;L$1)</f>
        <v>0</v>
      </c>
      <c r="M75" s="9">
        <f>SUMIFS($E:$E,$B:$B,"="&amp;$H75,$A:$A,"="&amp;M$1)</f>
        <v>0</v>
      </c>
      <c r="N75" s="9">
        <f>SUMIFS($E:$E,$B:$B,"="&amp;$H75,$A:$A,"="&amp;N$1)</f>
        <v>0</v>
      </c>
      <c r="O75" s="9">
        <f>SUMIFS($E:$E,$B:$B,"="&amp;$H75,$A:$A,"="&amp;O$1)</f>
        <v>0</v>
      </c>
      <c r="P75" s="9">
        <f>SUMIFS($E:$E,$B:$B,"="&amp;$H75,$A:$A,"="&amp;P$1)</f>
        <v>0</v>
      </c>
      <c r="Q75" s="9">
        <f>SUMIFS($E:$E,$B:$B,"="&amp;$H75,$A:$A,"="&amp;Q$1)</f>
        <v>0</v>
      </c>
      <c r="R75" s="9">
        <f>SUMIFS($E:$E,$B:$B,"="&amp;$H75,$A:$A,"="&amp;R$1)</f>
        <v>0</v>
      </c>
      <c r="S75" s="9">
        <f>SUMIFS($E:$E,$B:$B,"="&amp;$H75,$A:$A,"="&amp;S$1)</f>
        <v>0</v>
      </c>
      <c r="T75" s="9">
        <f>SUMIFS($E:$E,$B:$B,"="&amp;$H75,$A:$A,"="&amp;T$1)</f>
        <v>0</v>
      </c>
      <c r="U75" s="9">
        <f>SUMIFS($E:$E,$B:$B,"="&amp;$H75,$A:$A,"="&amp;U$1)</f>
        <v>0</v>
      </c>
      <c r="V75" s="9">
        <f>SUMIFS($E:$E,$B:$B,"="&amp;$H75,$A:$A,"="&amp;V$1)</f>
        <v>0</v>
      </c>
      <c r="W75" s="9">
        <f>SUMIFS($E:$E,$B:$B,"="&amp;$H75,$A:$A,"="&amp;W$1)</f>
        <v>0</v>
      </c>
      <c r="X75" s="9">
        <f>SUMIFS($E:$E,$B:$B,"="&amp;$H75,$A:$A,"="&amp;X$1)</f>
        <v>0</v>
      </c>
      <c r="Y75" s="9">
        <f>SUMIFS($E:$E,$B:$B,"="&amp;$H75,$A:$A,"="&amp;Y$1)</f>
        <v>2</v>
      </c>
      <c r="Z75" s="9">
        <f>SUMIFS($E:$E,$B:$B,"="&amp;$H75,$A:$A,"="&amp;Z$1)</f>
        <v>2</v>
      </c>
      <c r="AA75" s="9">
        <f>SUMIFS($E:$E,$B:$B,"="&amp;$H75,$A:$A,"="&amp;AA$1)</f>
        <v>2</v>
      </c>
      <c r="AB75" s="9">
        <f>SUMIFS($E:$E,$B:$B,"="&amp;$H75,$A:$A,"="&amp;AB$1)</f>
        <v>2</v>
      </c>
      <c r="AC75" s="9">
        <f>SUMIFS($E:$E,$B:$B,"="&amp;$H75,$A:$A,"="&amp;AC$1)</f>
        <v>2</v>
      </c>
      <c r="AD75" s="9">
        <f>SUMIFS($E:$E,$B:$B,"="&amp;$H75,$A:$A,"="&amp;AD$1)</f>
        <v>2</v>
      </c>
      <c r="AE75" s="9">
        <f>SUMIFS($E:$E,$B:$B,"="&amp;$H75,$A:$A,"="&amp;AE$1)</f>
        <v>2</v>
      </c>
      <c r="AF75" s="9">
        <f>SUMIFS($E:$E,$B:$B,"="&amp;$H75,$A:$A,"="&amp;AF$1)</f>
        <v>2</v>
      </c>
      <c r="AH75" s="11">
        <f t="shared" si="6"/>
        <v>1</v>
      </c>
      <c r="AI75" s="11">
        <f t="shared" si="7"/>
        <v>22</v>
      </c>
      <c r="AJ75" s="11">
        <f t="shared" si="8"/>
        <v>0</v>
      </c>
    </row>
    <row r="76" spans="1:36" x14ac:dyDescent="0.25">
      <c r="A76" t="s">
        <v>13</v>
      </c>
      <c r="B76" t="s">
        <v>84</v>
      </c>
      <c r="C76">
        <v>4</v>
      </c>
      <c r="D76">
        <v>12</v>
      </c>
      <c r="E76">
        <v>0</v>
      </c>
      <c r="H76" t="s">
        <v>97</v>
      </c>
      <c r="I76" s="9">
        <f>SUMIFS($E:$E,$B:$B,"="&amp;$H76,$A:$A,"="&amp;I$1)</f>
        <v>0</v>
      </c>
      <c r="J76" s="9">
        <f>SUMIFS($E:$E,$B:$B,"="&amp;$H76,$A:$A,"="&amp;J$1)</f>
        <v>0</v>
      </c>
      <c r="K76" s="9">
        <f>SUMIFS($E:$E,$B:$B,"="&amp;$H76,$A:$A,"="&amp;K$1)</f>
        <v>0</v>
      </c>
      <c r="L76" s="9">
        <f>SUMIFS($E:$E,$B:$B,"="&amp;$H76,$A:$A,"="&amp;L$1)</f>
        <v>0</v>
      </c>
      <c r="M76" s="9">
        <f>SUMIFS($E:$E,$B:$B,"="&amp;$H76,$A:$A,"="&amp;M$1)</f>
        <v>0</v>
      </c>
      <c r="N76" s="9">
        <f>SUMIFS($E:$E,$B:$B,"="&amp;$H76,$A:$A,"="&amp;N$1)</f>
        <v>0</v>
      </c>
      <c r="O76" s="9">
        <f>SUMIFS($E:$E,$B:$B,"="&amp;$H76,$A:$A,"="&amp;O$1)</f>
        <v>0</v>
      </c>
      <c r="P76" s="9">
        <f>SUMIFS($E:$E,$B:$B,"="&amp;$H76,$A:$A,"="&amp;P$1)</f>
        <v>0</v>
      </c>
      <c r="Q76" s="9">
        <f>SUMIFS($E:$E,$B:$B,"="&amp;$H76,$A:$A,"="&amp;Q$1)</f>
        <v>0</v>
      </c>
      <c r="R76" s="9">
        <f>SUMIFS($E:$E,$B:$B,"="&amp;$H76,$A:$A,"="&amp;R$1)</f>
        <v>0</v>
      </c>
      <c r="S76" s="9">
        <f>SUMIFS($E:$E,$B:$B,"="&amp;$H76,$A:$A,"="&amp;S$1)</f>
        <v>0</v>
      </c>
      <c r="T76" s="9">
        <f>SUMIFS($E:$E,$B:$B,"="&amp;$H76,$A:$A,"="&amp;T$1)</f>
        <v>0</v>
      </c>
      <c r="U76" s="9">
        <f>SUMIFS($E:$E,$B:$B,"="&amp;$H76,$A:$A,"="&amp;U$1)</f>
        <v>0</v>
      </c>
      <c r="V76" s="9">
        <f>SUMIFS($E:$E,$B:$B,"="&amp;$H76,$A:$A,"="&amp;V$1)</f>
        <v>0</v>
      </c>
      <c r="W76" s="9">
        <f>SUMIFS($E:$E,$B:$B,"="&amp;$H76,$A:$A,"="&amp;W$1)</f>
        <v>0</v>
      </c>
      <c r="X76" s="9">
        <f>SUMIFS($E:$E,$B:$B,"="&amp;$H76,$A:$A,"="&amp;X$1)</f>
        <v>0</v>
      </c>
      <c r="Y76" s="9">
        <f>SUMIFS($E:$E,$B:$B,"="&amp;$H76,$A:$A,"="&amp;Y$1)</f>
        <v>60</v>
      </c>
      <c r="Z76" s="9">
        <f>SUMIFS($E:$E,$B:$B,"="&amp;$H76,$A:$A,"="&amp;Z$1)</f>
        <v>62</v>
      </c>
      <c r="AA76" s="9">
        <f>SUMIFS($E:$E,$B:$B,"="&amp;$H76,$A:$A,"="&amp;AA$1)</f>
        <v>76</v>
      </c>
      <c r="AB76" s="9">
        <f>SUMIFS($E:$E,$B:$B,"="&amp;$H76,$A:$A,"="&amp;AB$1)</f>
        <v>71</v>
      </c>
      <c r="AC76" s="9">
        <f>SUMIFS($E:$E,$B:$B,"="&amp;$H76,$A:$A,"="&amp;AC$1)</f>
        <v>77</v>
      </c>
      <c r="AD76" s="9">
        <f>SUMIFS($E:$E,$B:$B,"="&amp;$H76,$A:$A,"="&amp;AD$1)</f>
        <v>77</v>
      </c>
      <c r="AE76" s="9">
        <f>SUMIFS($E:$E,$B:$B,"="&amp;$H76,$A:$A,"="&amp;AE$1)</f>
        <v>77</v>
      </c>
      <c r="AF76" s="9">
        <f>SUMIFS($E:$E,$B:$B,"="&amp;$H76,$A:$A,"="&amp;AF$1)</f>
        <v>85</v>
      </c>
      <c r="AH76" s="11">
        <f t="shared" si="6"/>
        <v>5</v>
      </c>
      <c r="AI76" s="11">
        <f t="shared" si="7"/>
        <v>17</v>
      </c>
      <c r="AJ76" s="11">
        <f t="shared" si="8"/>
        <v>1</v>
      </c>
    </row>
    <row r="77" spans="1:36" x14ac:dyDescent="0.25">
      <c r="A77" t="s">
        <v>13</v>
      </c>
      <c r="B77" t="s">
        <v>85</v>
      </c>
      <c r="C77">
        <v>1</v>
      </c>
      <c r="D77">
        <v>13</v>
      </c>
      <c r="E77">
        <v>28</v>
      </c>
      <c r="H77" t="s">
        <v>98</v>
      </c>
      <c r="I77" s="9">
        <f>SUMIFS($E:$E,$B:$B,"="&amp;$H77,$A:$A,"="&amp;I$1)</f>
        <v>0</v>
      </c>
      <c r="J77" s="9">
        <f>SUMIFS($E:$E,$B:$B,"="&amp;$H77,$A:$A,"="&amp;J$1)</f>
        <v>0</v>
      </c>
      <c r="K77" s="9">
        <f>SUMIFS($E:$E,$B:$B,"="&amp;$H77,$A:$A,"="&amp;K$1)</f>
        <v>0</v>
      </c>
      <c r="L77" s="9">
        <f>SUMIFS($E:$E,$B:$B,"="&amp;$H77,$A:$A,"="&amp;L$1)</f>
        <v>0</v>
      </c>
      <c r="M77" s="9">
        <f>SUMIFS($E:$E,$B:$B,"="&amp;$H77,$A:$A,"="&amp;M$1)</f>
        <v>0</v>
      </c>
      <c r="N77" s="9">
        <f>SUMIFS($E:$E,$B:$B,"="&amp;$H77,$A:$A,"="&amp;N$1)</f>
        <v>0</v>
      </c>
      <c r="O77" s="9">
        <f>SUMIFS($E:$E,$B:$B,"="&amp;$H77,$A:$A,"="&amp;O$1)</f>
        <v>0</v>
      </c>
      <c r="P77" s="9">
        <f>SUMIFS($E:$E,$B:$B,"="&amp;$H77,$A:$A,"="&amp;P$1)</f>
        <v>0</v>
      </c>
      <c r="Q77" s="9">
        <f>SUMIFS($E:$E,$B:$B,"="&amp;$H77,$A:$A,"="&amp;Q$1)</f>
        <v>0</v>
      </c>
      <c r="R77" s="9">
        <f>SUMIFS($E:$E,$B:$B,"="&amp;$H77,$A:$A,"="&amp;R$1)</f>
        <v>0</v>
      </c>
      <c r="S77" s="9">
        <f>SUMIFS($E:$E,$B:$B,"="&amp;$H77,$A:$A,"="&amp;S$1)</f>
        <v>0</v>
      </c>
      <c r="T77" s="9">
        <f>SUMIFS($E:$E,$B:$B,"="&amp;$H77,$A:$A,"="&amp;T$1)</f>
        <v>0</v>
      </c>
      <c r="U77" s="9">
        <f>SUMIFS($E:$E,$B:$B,"="&amp;$H77,$A:$A,"="&amp;U$1)</f>
        <v>0</v>
      </c>
      <c r="V77" s="9">
        <f>SUMIFS($E:$E,$B:$B,"="&amp;$H77,$A:$A,"="&amp;V$1)</f>
        <v>0</v>
      </c>
      <c r="W77" s="9">
        <f>SUMIFS($E:$E,$B:$B,"="&amp;$H77,$A:$A,"="&amp;W$1)</f>
        <v>0</v>
      </c>
      <c r="X77" s="9">
        <f>SUMIFS($E:$E,$B:$B,"="&amp;$H77,$A:$A,"="&amp;X$1)</f>
        <v>0</v>
      </c>
      <c r="Y77" s="9">
        <f>SUMIFS($E:$E,$B:$B,"="&amp;$H77,$A:$A,"="&amp;Y$1)</f>
        <v>9</v>
      </c>
      <c r="Z77" s="9">
        <f>SUMIFS($E:$E,$B:$B,"="&amp;$H77,$A:$A,"="&amp;Z$1)</f>
        <v>9</v>
      </c>
      <c r="AA77" s="9">
        <f>SUMIFS($E:$E,$B:$B,"="&amp;$H77,$A:$A,"="&amp;AA$1)</f>
        <v>9</v>
      </c>
      <c r="AB77" s="9">
        <f>SUMIFS($E:$E,$B:$B,"="&amp;$H77,$A:$A,"="&amp;AB$1)</f>
        <v>9</v>
      </c>
      <c r="AC77" s="9">
        <f>SUMIFS($E:$E,$B:$B,"="&amp;$H77,$A:$A,"="&amp;AC$1)</f>
        <v>9</v>
      </c>
      <c r="AD77" s="9">
        <f>SUMIFS($E:$E,$B:$B,"="&amp;$H77,$A:$A,"="&amp;AD$1)</f>
        <v>9</v>
      </c>
      <c r="AE77" s="9">
        <f>SUMIFS($E:$E,$B:$B,"="&amp;$H77,$A:$A,"="&amp;AE$1)</f>
        <v>9</v>
      </c>
      <c r="AF77" s="9">
        <f>SUMIFS($E:$E,$B:$B,"="&amp;$H77,$A:$A,"="&amp;AF$1)</f>
        <v>9</v>
      </c>
      <c r="AH77" s="11">
        <f t="shared" si="6"/>
        <v>1</v>
      </c>
      <c r="AI77" s="11">
        <f t="shared" si="7"/>
        <v>22</v>
      </c>
      <c r="AJ77" s="11">
        <f t="shared" si="8"/>
        <v>0</v>
      </c>
    </row>
    <row r="78" spans="1:36" x14ac:dyDescent="0.25">
      <c r="A78" t="s">
        <v>13</v>
      </c>
      <c r="B78" t="s">
        <v>86</v>
      </c>
      <c r="C78">
        <v>4</v>
      </c>
      <c r="D78">
        <v>1</v>
      </c>
      <c r="E78">
        <v>7</v>
      </c>
      <c r="H78" t="s">
        <v>99</v>
      </c>
      <c r="I78" s="9">
        <f>SUMIFS($E:$E,$B:$B,"="&amp;$H78,$A:$A,"="&amp;I$1)</f>
        <v>0</v>
      </c>
      <c r="J78" s="9">
        <f>SUMIFS($E:$E,$B:$B,"="&amp;$H78,$A:$A,"="&amp;J$1)</f>
        <v>0</v>
      </c>
      <c r="K78" s="9">
        <f>SUMIFS($E:$E,$B:$B,"="&amp;$H78,$A:$A,"="&amp;K$1)</f>
        <v>0</v>
      </c>
      <c r="L78" s="9">
        <f>SUMIFS($E:$E,$B:$B,"="&amp;$H78,$A:$A,"="&amp;L$1)</f>
        <v>0</v>
      </c>
      <c r="M78" s="9">
        <f>SUMIFS($E:$E,$B:$B,"="&amp;$H78,$A:$A,"="&amp;M$1)</f>
        <v>0</v>
      </c>
      <c r="N78" s="9">
        <f>SUMIFS($E:$E,$B:$B,"="&amp;$H78,$A:$A,"="&amp;N$1)</f>
        <v>0</v>
      </c>
      <c r="O78" s="9">
        <f>SUMIFS($E:$E,$B:$B,"="&amp;$H78,$A:$A,"="&amp;O$1)</f>
        <v>0</v>
      </c>
      <c r="P78" s="9">
        <f>SUMIFS($E:$E,$B:$B,"="&amp;$H78,$A:$A,"="&amp;P$1)</f>
        <v>0</v>
      </c>
      <c r="Q78" s="9">
        <f>SUMIFS($E:$E,$B:$B,"="&amp;$H78,$A:$A,"="&amp;Q$1)</f>
        <v>0</v>
      </c>
      <c r="R78" s="9">
        <f>SUMIFS($E:$E,$B:$B,"="&amp;$H78,$A:$A,"="&amp;R$1)</f>
        <v>0</v>
      </c>
      <c r="S78" s="9">
        <f>SUMIFS($E:$E,$B:$B,"="&amp;$H78,$A:$A,"="&amp;S$1)</f>
        <v>0</v>
      </c>
      <c r="T78" s="9">
        <f>SUMIFS($E:$E,$B:$B,"="&amp;$H78,$A:$A,"="&amp;T$1)</f>
        <v>0</v>
      </c>
      <c r="U78" s="9">
        <f>SUMIFS($E:$E,$B:$B,"="&amp;$H78,$A:$A,"="&amp;U$1)</f>
        <v>0</v>
      </c>
      <c r="V78" s="9">
        <f>SUMIFS($E:$E,$B:$B,"="&amp;$H78,$A:$A,"="&amp;V$1)</f>
        <v>0</v>
      </c>
      <c r="W78" s="9">
        <f>SUMIFS($E:$E,$B:$B,"="&amp;$H78,$A:$A,"="&amp;W$1)</f>
        <v>0</v>
      </c>
      <c r="X78" s="9">
        <f>SUMIFS($E:$E,$B:$B,"="&amp;$H78,$A:$A,"="&amp;X$1)</f>
        <v>0</v>
      </c>
      <c r="Y78" s="9">
        <f>SUMIFS($E:$E,$B:$B,"="&amp;$H78,$A:$A,"="&amp;Y$1)</f>
        <v>19</v>
      </c>
      <c r="Z78" s="9">
        <f>SUMIFS($E:$E,$B:$B,"="&amp;$H78,$A:$A,"="&amp;Z$1)</f>
        <v>19</v>
      </c>
      <c r="AA78" s="9">
        <f>SUMIFS($E:$E,$B:$B,"="&amp;$H78,$A:$A,"="&amp;AA$1)</f>
        <v>19</v>
      </c>
      <c r="AB78" s="9">
        <f>SUMIFS($E:$E,$B:$B,"="&amp;$H78,$A:$A,"="&amp;AB$1)</f>
        <v>19</v>
      </c>
      <c r="AC78" s="9">
        <f>SUMIFS($E:$E,$B:$B,"="&amp;$H78,$A:$A,"="&amp;AC$1)</f>
        <v>19</v>
      </c>
      <c r="AD78" s="9">
        <f>SUMIFS($E:$E,$B:$B,"="&amp;$H78,$A:$A,"="&amp;AD$1)</f>
        <v>19</v>
      </c>
      <c r="AE78" s="9">
        <f>SUMIFS($E:$E,$B:$B,"="&amp;$H78,$A:$A,"="&amp;AE$1)</f>
        <v>19</v>
      </c>
      <c r="AF78" s="9">
        <f>SUMIFS($E:$E,$B:$B,"="&amp;$H78,$A:$A,"="&amp;AF$1)</f>
        <v>19</v>
      </c>
      <c r="AH78" s="11">
        <f t="shared" si="6"/>
        <v>1</v>
      </c>
      <c r="AI78" s="11">
        <f t="shared" si="7"/>
        <v>22</v>
      </c>
      <c r="AJ78" s="11">
        <f t="shared" si="8"/>
        <v>0</v>
      </c>
    </row>
    <row r="79" spans="1:36" x14ac:dyDescent="0.25">
      <c r="A79" t="s">
        <v>13</v>
      </c>
      <c r="B79" t="s">
        <v>79</v>
      </c>
      <c r="C79">
        <v>0</v>
      </c>
      <c r="D79">
        <v>5</v>
      </c>
      <c r="E79">
        <v>0</v>
      </c>
      <c r="H79" t="s">
        <v>100</v>
      </c>
      <c r="I79" s="9">
        <f>SUMIFS($E:$E,$B:$B,"="&amp;$H79,$A:$A,"="&amp;I$1)</f>
        <v>0</v>
      </c>
      <c r="J79" s="9">
        <f>SUMIFS($E:$E,$B:$B,"="&amp;$H79,$A:$A,"="&amp;J$1)</f>
        <v>0</v>
      </c>
      <c r="K79" s="9">
        <f>SUMIFS($E:$E,$B:$B,"="&amp;$H79,$A:$A,"="&amp;K$1)</f>
        <v>0</v>
      </c>
      <c r="L79" s="9">
        <f>SUMIFS($E:$E,$B:$B,"="&amp;$H79,$A:$A,"="&amp;L$1)</f>
        <v>0</v>
      </c>
      <c r="M79" s="9">
        <f>SUMIFS($E:$E,$B:$B,"="&amp;$H79,$A:$A,"="&amp;M$1)</f>
        <v>0</v>
      </c>
      <c r="N79" s="9">
        <f>SUMIFS($E:$E,$B:$B,"="&amp;$H79,$A:$A,"="&amp;N$1)</f>
        <v>0</v>
      </c>
      <c r="O79" s="9">
        <f>SUMIFS($E:$E,$B:$B,"="&amp;$H79,$A:$A,"="&amp;O$1)</f>
        <v>0</v>
      </c>
      <c r="P79" s="9">
        <f>SUMIFS($E:$E,$B:$B,"="&amp;$H79,$A:$A,"="&amp;P$1)</f>
        <v>0</v>
      </c>
      <c r="Q79" s="9">
        <f>SUMIFS($E:$E,$B:$B,"="&amp;$H79,$A:$A,"="&amp;Q$1)</f>
        <v>0</v>
      </c>
      <c r="R79" s="9">
        <f>SUMIFS($E:$E,$B:$B,"="&amp;$H79,$A:$A,"="&amp;R$1)</f>
        <v>0</v>
      </c>
      <c r="S79" s="9">
        <f>SUMIFS($E:$E,$B:$B,"="&amp;$H79,$A:$A,"="&amp;S$1)</f>
        <v>0</v>
      </c>
      <c r="T79" s="9">
        <f>SUMIFS($E:$E,$B:$B,"="&amp;$H79,$A:$A,"="&amp;T$1)</f>
        <v>0</v>
      </c>
      <c r="U79" s="9">
        <f>SUMIFS($E:$E,$B:$B,"="&amp;$H79,$A:$A,"="&amp;U$1)</f>
        <v>0</v>
      </c>
      <c r="V79" s="9">
        <f>SUMIFS($E:$E,$B:$B,"="&amp;$H79,$A:$A,"="&amp;V$1)</f>
        <v>0</v>
      </c>
      <c r="W79" s="9">
        <f>SUMIFS($E:$E,$B:$B,"="&amp;$H79,$A:$A,"="&amp;W$1)</f>
        <v>0</v>
      </c>
      <c r="X79" s="9">
        <f>SUMIFS($E:$E,$B:$B,"="&amp;$H79,$A:$A,"="&amp;X$1)</f>
        <v>0</v>
      </c>
      <c r="Y79" s="9">
        <f>SUMIFS($E:$E,$B:$B,"="&amp;$H79,$A:$A,"="&amp;Y$1)</f>
        <v>1</v>
      </c>
      <c r="Z79" s="9">
        <f>SUMIFS($E:$E,$B:$B,"="&amp;$H79,$A:$A,"="&amp;Z$1)</f>
        <v>1</v>
      </c>
      <c r="AA79" s="9">
        <f>SUMIFS($E:$E,$B:$B,"="&amp;$H79,$A:$A,"="&amp;AA$1)</f>
        <v>1</v>
      </c>
      <c r="AB79" s="9">
        <f>SUMIFS($E:$E,$B:$B,"="&amp;$H79,$A:$A,"="&amp;AB$1)</f>
        <v>1</v>
      </c>
      <c r="AC79" s="9">
        <f>SUMIFS($E:$E,$B:$B,"="&amp;$H79,$A:$A,"="&amp;AC$1)</f>
        <v>1</v>
      </c>
      <c r="AD79" s="9">
        <f>SUMIFS($E:$E,$B:$B,"="&amp;$H79,$A:$A,"="&amp;AD$1)</f>
        <v>1</v>
      </c>
      <c r="AE79" s="9">
        <f>SUMIFS($E:$E,$B:$B,"="&amp;$H79,$A:$A,"="&amp;AE$1)</f>
        <v>1</v>
      </c>
      <c r="AF79" s="9">
        <f>SUMIFS($E:$E,$B:$B,"="&amp;$H79,$A:$A,"="&amp;AF$1)</f>
        <v>1</v>
      </c>
      <c r="AH79" s="11">
        <f t="shared" si="6"/>
        <v>1</v>
      </c>
      <c r="AI79" s="11">
        <f t="shared" si="7"/>
        <v>22</v>
      </c>
      <c r="AJ79" s="11">
        <f t="shared" si="8"/>
        <v>0</v>
      </c>
    </row>
    <row r="80" spans="1:36" x14ac:dyDescent="0.25">
      <c r="A80" t="s">
        <v>13</v>
      </c>
      <c r="B80" t="s">
        <v>63</v>
      </c>
      <c r="C80">
        <v>21</v>
      </c>
      <c r="D80">
        <v>92</v>
      </c>
      <c r="E80">
        <v>236</v>
      </c>
      <c r="H80" t="s">
        <v>95</v>
      </c>
      <c r="I80" s="9">
        <f>SUMIFS($E:$E,$B:$B,"="&amp;$H80,$A:$A,"="&amp;I$1)</f>
        <v>0</v>
      </c>
      <c r="J80" s="9">
        <f>SUMIFS($E:$E,$B:$B,"="&amp;$H80,$A:$A,"="&amp;J$1)</f>
        <v>0</v>
      </c>
      <c r="K80" s="9">
        <f>SUMIFS($E:$E,$B:$B,"="&amp;$H80,$A:$A,"="&amp;K$1)</f>
        <v>0</v>
      </c>
      <c r="L80" s="9">
        <f>SUMIFS($E:$E,$B:$B,"="&amp;$H80,$A:$A,"="&amp;L$1)</f>
        <v>0</v>
      </c>
      <c r="M80" s="9">
        <f>SUMIFS($E:$E,$B:$B,"="&amp;$H80,$A:$A,"="&amp;M$1)</f>
        <v>0</v>
      </c>
      <c r="N80" s="9">
        <f>SUMIFS($E:$E,$B:$B,"="&amp;$H80,$A:$A,"="&amp;N$1)</f>
        <v>0</v>
      </c>
      <c r="O80" s="9">
        <f>SUMIFS($E:$E,$B:$B,"="&amp;$H80,$A:$A,"="&amp;O$1)</f>
        <v>0</v>
      </c>
      <c r="P80" s="9">
        <f>SUMIFS($E:$E,$B:$B,"="&amp;$H80,$A:$A,"="&amp;P$1)</f>
        <v>0</v>
      </c>
      <c r="Q80" s="9">
        <f>SUMIFS($E:$E,$B:$B,"="&amp;$H80,$A:$A,"="&amp;Q$1)</f>
        <v>0</v>
      </c>
      <c r="R80" s="9">
        <f>SUMIFS($E:$E,$B:$B,"="&amp;$H80,$A:$A,"="&amp;R$1)</f>
        <v>0</v>
      </c>
      <c r="S80" s="9">
        <f>SUMIFS($E:$E,$B:$B,"="&amp;$H80,$A:$A,"="&amp;S$1)</f>
        <v>0</v>
      </c>
      <c r="T80" s="9">
        <f>SUMIFS($E:$E,$B:$B,"="&amp;$H80,$A:$A,"="&amp;T$1)</f>
        <v>0</v>
      </c>
      <c r="U80" s="9">
        <f>SUMIFS($E:$E,$B:$B,"="&amp;$H80,$A:$A,"="&amp;U$1)</f>
        <v>0</v>
      </c>
      <c r="V80" s="9">
        <f>SUMIFS($E:$E,$B:$B,"="&amp;$H80,$A:$A,"="&amp;V$1)</f>
        <v>0</v>
      </c>
      <c r="W80" s="9">
        <f>SUMIFS($E:$E,$B:$B,"="&amp;$H80,$A:$A,"="&amp;W$1)</f>
        <v>0</v>
      </c>
      <c r="X80" s="9">
        <f>SUMIFS($E:$E,$B:$B,"="&amp;$H80,$A:$A,"="&amp;X$1)</f>
        <v>0</v>
      </c>
      <c r="Y80" s="9">
        <f>SUMIFS($E:$E,$B:$B,"="&amp;$H80,$A:$A,"="&amp;Y$1)</f>
        <v>0</v>
      </c>
      <c r="Z80" s="9">
        <f>SUMIFS($E:$E,$B:$B,"="&amp;$H80,$A:$A,"="&amp;Z$1)</f>
        <v>0</v>
      </c>
      <c r="AA80" s="9">
        <f>SUMIFS($E:$E,$B:$B,"="&amp;$H80,$A:$A,"="&amp;AA$1)</f>
        <v>0</v>
      </c>
      <c r="AB80" s="9">
        <f>SUMIFS($E:$E,$B:$B,"="&amp;$H80,$A:$A,"="&amp;AB$1)</f>
        <v>0</v>
      </c>
      <c r="AC80" s="9">
        <f>SUMIFS($E:$E,$B:$B,"="&amp;$H80,$A:$A,"="&amp;AC$1)</f>
        <v>0</v>
      </c>
      <c r="AD80" s="9">
        <f>SUMIFS($E:$E,$B:$B,"="&amp;$H80,$A:$A,"="&amp;AD$1)</f>
        <v>0</v>
      </c>
      <c r="AE80" s="9">
        <f>SUMIFS($E:$E,$B:$B,"="&amp;$H80,$A:$A,"="&amp;AE$1)</f>
        <v>0</v>
      </c>
      <c r="AF80" s="9">
        <f>SUMIFS($E:$E,$B:$B,"="&amp;$H80,$A:$A,"="&amp;AF$1)</f>
        <v>0</v>
      </c>
      <c r="AH80" s="11">
        <f t="shared" si="6"/>
        <v>0</v>
      </c>
      <c r="AI80" s="11">
        <f t="shared" si="7"/>
        <v>23</v>
      </c>
      <c r="AJ80" s="11">
        <f t="shared" si="8"/>
        <v>0</v>
      </c>
    </row>
    <row r="81" spans="1:36" x14ac:dyDescent="0.25">
      <c r="A81" t="s">
        <v>13</v>
      </c>
      <c r="B81" t="s">
        <v>76</v>
      </c>
      <c r="C81">
        <v>1</v>
      </c>
      <c r="D81">
        <v>15</v>
      </c>
      <c r="E81">
        <v>18</v>
      </c>
      <c r="H81" t="s">
        <v>92</v>
      </c>
      <c r="I81" s="9">
        <f>SUMIFS($E:$E,$B:$B,"="&amp;$H81,$A:$A,"="&amp;I$1)</f>
        <v>0</v>
      </c>
      <c r="J81" s="9">
        <f>SUMIFS($E:$E,$B:$B,"="&amp;$H81,$A:$A,"="&amp;J$1)</f>
        <v>0</v>
      </c>
      <c r="K81" s="9">
        <f>SUMIFS($E:$E,$B:$B,"="&amp;$H81,$A:$A,"="&amp;K$1)</f>
        <v>0</v>
      </c>
      <c r="L81" s="9">
        <f>SUMIFS($E:$E,$B:$B,"="&amp;$H81,$A:$A,"="&amp;L$1)</f>
        <v>0</v>
      </c>
      <c r="M81" s="9">
        <f>SUMIFS($E:$E,$B:$B,"="&amp;$H81,$A:$A,"="&amp;M$1)</f>
        <v>0</v>
      </c>
      <c r="N81" s="9">
        <f>SUMIFS($E:$E,$B:$B,"="&amp;$H81,$A:$A,"="&amp;N$1)</f>
        <v>0</v>
      </c>
      <c r="O81" s="9">
        <f>SUMIFS($E:$E,$B:$B,"="&amp;$H81,$A:$A,"="&amp;O$1)</f>
        <v>0</v>
      </c>
      <c r="P81" s="9">
        <f>SUMIFS($E:$E,$B:$B,"="&amp;$H81,$A:$A,"="&amp;P$1)</f>
        <v>0</v>
      </c>
      <c r="Q81" s="9">
        <f>SUMIFS($E:$E,$B:$B,"="&amp;$H81,$A:$A,"="&amp;Q$1)</f>
        <v>0</v>
      </c>
      <c r="R81" s="9">
        <f>SUMIFS($E:$E,$B:$B,"="&amp;$H81,$A:$A,"="&amp;R$1)</f>
        <v>0</v>
      </c>
      <c r="S81" s="9">
        <f>SUMIFS($E:$E,$B:$B,"="&amp;$H81,$A:$A,"="&amp;S$1)</f>
        <v>0</v>
      </c>
      <c r="T81" s="9">
        <f>SUMIFS($E:$E,$B:$B,"="&amp;$H81,$A:$A,"="&amp;T$1)</f>
        <v>0</v>
      </c>
      <c r="U81" s="9">
        <f>SUMIFS($E:$E,$B:$B,"="&amp;$H81,$A:$A,"="&amp;U$1)</f>
        <v>0</v>
      </c>
      <c r="V81" s="9">
        <f>SUMIFS($E:$E,$B:$B,"="&amp;$H81,$A:$A,"="&amp;V$1)</f>
        <v>0</v>
      </c>
      <c r="W81" s="9">
        <f>SUMIFS($E:$E,$B:$B,"="&amp;$H81,$A:$A,"="&amp;W$1)</f>
        <v>0</v>
      </c>
      <c r="X81" s="9">
        <f>SUMIFS($E:$E,$B:$B,"="&amp;$H81,$A:$A,"="&amp;X$1)</f>
        <v>0</v>
      </c>
      <c r="Y81" s="9">
        <f>SUMIFS($E:$E,$B:$B,"="&amp;$H81,$A:$A,"="&amp;Y$1)</f>
        <v>0</v>
      </c>
      <c r="Z81" s="9">
        <f>SUMIFS($E:$E,$B:$B,"="&amp;$H81,$A:$A,"="&amp;Z$1)</f>
        <v>0</v>
      </c>
      <c r="AA81" s="9">
        <f>SUMIFS($E:$E,$B:$B,"="&amp;$H81,$A:$A,"="&amp;AA$1)</f>
        <v>0</v>
      </c>
      <c r="AB81" s="9">
        <f>SUMIFS($E:$E,$B:$B,"="&amp;$H81,$A:$A,"="&amp;AB$1)</f>
        <v>0</v>
      </c>
      <c r="AC81" s="9">
        <f>SUMIFS($E:$E,$B:$B,"="&amp;$H81,$A:$A,"="&amp;AC$1)</f>
        <v>0</v>
      </c>
      <c r="AD81" s="9">
        <f>SUMIFS($E:$E,$B:$B,"="&amp;$H81,$A:$A,"="&amp;AD$1)</f>
        <v>0</v>
      </c>
      <c r="AE81" s="9">
        <f>SUMIFS($E:$E,$B:$B,"="&amp;$H81,$A:$A,"="&amp;AE$1)</f>
        <v>0</v>
      </c>
      <c r="AF81" s="9">
        <f>SUMIFS($E:$E,$B:$B,"="&amp;$H81,$A:$A,"="&amp;AF$1)</f>
        <v>0</v>
      </c>
      <c r="AH81" s="11">
        <f t="shared" si="6"/>
        <v>0</v>
      </c>
      <c r="AI81" s="11">
        <f t="shared" si="7"/>
        <v>23</v>
      </c>
      <c r="AJ81" s="11">
        <f t="shared" si="8"/>
        <v>0</v>
      </c>
    </row>
    <row r="82" spans="1:36" x14ac:dyDescent="0.25">
      <c r="A82" t="s">
        <v>13</v>
      </c>
      <c r="B82" t="s">
        <v>80</v>
      </c>
      <c r="C82">
        <v>16</v>
      </c>
      <c r="D82">
        <v>7</v>
      </c>
      <c r="E82">
        <v>27</v>
      </c>
      <c r="H82" t="s">
        <v>94</v>
      </c>
      <c r="I82" s="9">
        <f>SUMIFS($E:$E,$B:$B,"="&amp;$H82,$A:$A,"="&amp;I$1)</f>
        <v>0</v>
      </c>
      <c r="J82" s="9">
        <f>SUMIFS($E:$E,$B:$B,"="&amp;$H82,$A:$A,"="&amp;J$1)</f>
        <v>0</v>
      </c>
      <c r="K82" s="9">
        <f>SUMIFS($E:$E,$B:$B,"="&amp;$H82,$A:$A,"="&amp;K$1)</f>
        <v>0</v>
      </c>
      <c r="L82" s="9">
        <f>SUMIFS($E:$E,$B:$B,"="&amp;$H82,$A:$A,"="&amp;L$1)</f>
        <v>0</v>
      </c>
      <c r="M82" s="9">
        <f>SUMIFS($E:$E,$B:$B,"="&amp;$H82,$A:$A,"="&amp;M$1)</f>
        <v>0</v>
      </c>
      <c r="N82" s="9">
        <f>SUMIFS($E:$E,$B:$B,"="&amp;$H82,$A:$A,"="&amp;N$1)</f>
        <v>0</v>
      </c>
      <c r="O82" s="9">
        <f>SUMIFS($E:$E,$B:$B,"="&amp;$H82,$A:$A,"="&amp;O$1)</f>
        <v>0</v>
      </c>
      <c r="P82" s="9">
        <f>SUMIFS($E:$E,$B:$B,"="&amp;$H82,$A:$A,"="&amp;P$1)</f>
        <v>0</v>
      </c>
      <c r="Q82" s="9">
        <f>SUMIFS($E:$E,$B:$B,"="&amp;$H82,$A:$A,"="&amp;Q$1)</f>
        <v>0</v>
      </c>
      <c r="R82" s="9">
        <f>SUMIFS($E:$E,$B:$B,"="&amp;$H82,$A:$A,"="&amp;R$1)</f>
        <v>0</v>
      </c>
      <c r="S82" s="9">
        <f>SUMIFS($E:$E,$B:$B,"="&amp;$H82,$A:$A,"="&amp;S$1)</f>
        <v>14</v>
      </c>
      <c r="T82" s="9">
        <f>SUMIFS($E:$E,$B:$B,"="&amp;$H82,$A:$A,"="&amp;T$1)</f>
        <v>14</v>
      </c>
      <c r="U82" s="9">
        <f>SUMIFS($E:$E,$B:$B,"="&amp;$H82,$A:$A,"="&amp;U$1)</f>
        <v>14</v>
      </c>
      <c r="V82" s="9">
        <f>SUMIFS($E:$E,$B:$B,"="&amp;$H82,$A:$A,"="&amp;V$1)</f>
        <v>14</v>
      </c>
      <c r="W82" s="9">
        <f>SUMIFS($E:$E,$B:$B,"="&amp;$H82,$A:$A,"="&amp;W$1)</f>
        <v>14</v>
      </c>
      <c r="X82" s="9">
        <f>SUMIFS($E:$E,$B:$B,"="&amp;$H82,$A:$A,"="&amp;X$1)</f>
        <v>14</v>
      </c>
      <c r="Y82" s="9">
        <f>SUMIFS($E:$E,$B:$B,"="&amp;$H82,$A:$A,"="&amp;Y$1)</f>
        <v>17</v>
      </c>
      <c r="Z82" s="9">
        <f>SUMIFS($E:$E,$B:$B,"="&amp;$H82,$A:$A,"="&amp;Z$1)</f>
        <v>17</v>
      </c>
      <c r="AA82" s="9">
        <f>SUMIFS($E:$E,$B:$B,"="&amp;$H82,$A:$A,"="&amp;AA$1)</f>
        <v>17</v>
      </c>
      <c r="AB82" s="9">
        <f>SUMIFS($E:$E,$B:$B,"="&amp;$H82,$A:$A,"="&amp;AB$1)</f>
        <v>17</v>
      </c>
      <c r="AC82" s="9">
        <f>SUMIFS($E:$E,$B:$B,"="&amp;$H82,$A:$A,"="&amp;AC$1)</f>
        <v>17</v>
      </c>
      <c r="AD82" s="9">
        <f>SUMIFS($E:$E,$B:$B,"="&amp;$H82,$A:$A,"="&amp;AD$1)</f>
        <v>17</v>
      </c>
      <c r="AE82" s="9">
        <f>SUMIFS($E:$E,$B:$B,"="&amp;$H82,$A:$A,"="&amp;AE$1)</f>
        <v>17</v>
      </c>
      <c r="AF82" s="9">
        <f>SUMIFS($E:$E,$B:$B,"="&amp;$H82,$A:$A,"="&amp;AF$1)</f>
        <v>17</v>
      </c>
      <c r="AH82" s="11">
        <f t="shared" si="6"/>
        <v>2</v>
      </c>
      <c r="AI82" s="11">
        <f t="shared" si="7"/>
        <v>21</v>
      </c>
      <c r="AJ82" s="11">
        <f t="shared" si="8"/>
        <v>0</v>
      </c>
    </row>
    <row r="83" spans="1:36" x14ac:dyDescent="0.25">
      <c r="A83" t="s">
        <v>13</v>
      </c>
      <c r="B83" t="s">
        <v>87</v>
      </c>
      <c r="C83">
        <v>0</v>
      </c>
      <c r="D83">
        <v>16</v>
      </c>
      <c r="E83">
        <v>13</v>
      </c>
      <c r="H83" t="s">
        <v>83</v>
      </c>
      <c r="I83" s="9">
        <f>SUMIFS($E:$E,$B:$B,"="&amp;$H83,$A:$A,"="&amp;I$1)</f>
        <v>0</v>
      </c>
      <c r="J83" s="9">
        <f>SUMIFS($E:$E,$B:$B,"="&amp;$H83,$A:$A,"="&amp;J$1)</f>
        <v>0</v>
      </c>
      <c r="K83" s="9">
        <f>SUMIFS($E:$E,$B:$B,"="&amp;$H83,$A:$A,"="&amp;K$1)</f>
        <v>0</v>
      </c>
      <c r="L83" s="9">
        <f>SUMIFS($E:$E,$B:$B,"="&amp;$H83,$A:$A,"="&amp;L$1)</f>
        <v>0</v>
      </c>
      <c r="M83" s="9">
        <f>SUMIFS($E:$E,$B:$B,"="&amp;$H83,$A:$A,"="&amp;M$1)</f>
        <v>0</v>
      </c>
      <c r="N83" s="9">
        <f>SUMIFS($E:$E,$B:$B,"="&amp;$H83,$A:$A,"="&amp;N$1)</f>
        <v>40</v>
      </c>
      <c r="O83" s="9">
        <f>SUMIFS($E:$E,$B:$B,"="&amp;$H83,$A:$A,"="&amp;O$1)</f>
        <v>40</v>
      </c>
      <c r="P83" s="9">
        <f>SUMIFS($E:$E,$B:$B,"="&amp;$H83,$A:$A,"="&amp;P$1)</f>
        <v>40</v>
      </c>
      <c r="Q83" s="9">
        <f>SUMIFS($E:$E,$B:$B,"="&amp;$H83,$A:$A,"="&amp;Q$1)</f>
        <v>40</v>
      </c>
      <c r="R83" s="9">
        <f>SUMIFS($E:$E,$B:$B,"="&amp;$H83,$A:$A,"="&amp;R$1)</f>
        <v>40</v>
      </c>
      <c r="S83" s="9">
        <f>SUMIFS($E:$E,$B:$B,"="&amp;$H83,$A:$A,"="&amp;S$1)</f>
        <v>85</v>
      </c>
      <c r="T83" s="9">
        <f>SUMIFS($E:$E,$B:$B,"="&amp;$H83,$A:$A,"="&amp;T$1)</f>
        <v>85</v>
      </c>
      <c r="U83" s="9">
        <f>SUMIFS($E:$E,$B:$B,"="&amp;$H83,$A:$A,"="&amp;U$1)</f>
        <v>74</v>
      </c>
      <c r="V83" s="9">
        <f>SUMIFS($E:$E,$B:$B,"="&amp;$H83,$A:$A,"="&amp;V$1)</f>
        <v>74</v>
      </c>
      <c r="W83" s="9">
        <f>SUMIFS($E:$E,$B:$B,"="&amp;$H83,$A:$A,"="&amp;W$1)</f>
        <v>74</v>
      </c>
      <c r="X83" s="9">
        <f>SUMIFS($E:$E,$B:$B,"="&amp;$H83,$A:$A,"="&amp;X$1)</f>
        <v>74</v>
      </c>
      <c r="Y83" s="9">
        <f>SUMIFS($E:$E,$B:$B,"="&amp;$H83,$A:$A,"="&amp;Y$1)</f>
        <v>100</v>
      </c>
      <c r="Z83" s="9">
        <f>SUMIFS($E:$E,$B:$B,"="&amp;$H83,$A:$A,"="&amp;Z$1)</f>
        <v>100</v>
      </c>
      <c r="AA83" s="9">
        <f>SUMIFS($E:$E,$B:$B,"="&amp;$H83,$A:$A,"="&amp;AA$1)</f>
        <v>108</v>
      </c>
      <c r="AB83" s="9">
        <f>SUMIFS($E:$E,$B:$B,"="&amp;$H83,$A:$A,"="&amp;AB$1)</f>
        <v>108</v>
      </c>
      <c r="AC83" s="9">
        <f>SUMIFS($E:$E,$B:$B,"="&amp;$H83,$A:$A,"="&amp;AC$1)</f>
        <v>108</v>
      </c>
      <c r="AD83" s="9">
        <f>SUMIFS($E:$E,$B:$B,"="&amp;$H83,$A:$A,"="&amp;AD$1)</f>
        <v>110</v>
      </c>
      <c r="AE83" s="9">
        <f>SUMIFS($E:$E,$B:$B,"="&amp;$H83,$A:$A,"="&amp;AE$1)</f>
        <v>110</v>
      </c>
      <c r="AF83" s="9">
        <f>SUMIFS($E:$E,$B:$B,"="&amp;$H83,$A:$A,"="&amp;AF$1)</f>
        <v>110</v>
      </c>
      <c r="AH83" s="11">
        <f t="shared" si="6"/>
        <v>5</v>
      </c>
      <c r="AI83" s="11">
        <f t="shared" si="7"/>
        <v>17</v>
      </c>
      <c r="AJ83" s="11">
        <f t="shared" si="8"/>
        <v>1</v>
      </c>
    </row>
    <row r="84" spans="1:36" x14ac:dyDescent="0.25">
      <c r="A84" t="s">
        <v>13</v>
      </c>
      <c r="B84" t="s">
        <v>88</v>
      </c>
      <c r="C84">
        <v>1</v>
      </c>
      <c r="D84">
        <v>9</v>
      </c>
      <c r="E84">
        <v>11</v>
      </c>
      <c r="H84" t="s">
        <v>84</v>
      </c>
      <c r="I84" s="9">
        <f>SUMIFS($E:$E,$B:$B,"="&amp;$H84,$A:$A,"="&amp;I$1)</f>
        <v>0</v>
      </c>
      <c r="J84" s="9">
        <f>SUMIFS($E:$E,$B:$B,"="&amp;$H84,$A:$A,"="&amp;J$1)</f>
        <v>0</v>
      </c>
      <c r="K84" s="9">
        <f>SUMIFS($E:$E,$B:$B,"="&amp;$H84,$A:$A,"="&amp;K$1)</f>
        <v>0</v>
      </c>
      <c r="L84" s="9">
        <f>SUMIFS($E:$E,$B:$B,"="&amp;$H84,$A:$A,"="&amp;L$1)</f>
        <v>0</v>
      </c>
      <c r="M84" s="9">
        <f>SUMIFS($E:$E,$B:$B,"="&amp;$H84,$A:$A,"="&amp;M$1)</f>
        <v>0</v>
      </c>
      <c r="N84" s="9">
        <f>SUMIFS($E:$E,$B:$B,"="&amp;$H84,$A:$A,"="&amp;N$1)</f>
        <v>0</v>
      </c>
      <c r="O84" s="9">
        <f>SUMIFS($E:$E,$B:$B,"="&amp;$H84,$A:$A,"="&amp;O$1)</f>
        <v>0</v>
      </c>
      <c r="P84" s="9">
        <f>SUMIFS($E:$E,$B:$B,"="&amp;$H84,$A:$A,"="&amp;P$1)</f>
        <v>0</v>
      </c>
      <c r="Q84" s="9">
        <f>SUMIFS($E:$E,$B:$B,"="&amp;$H84,$A:$A,"="&amp;Q$1)</f>
        <v>0</v>
      </c>
      <c r="R84" s="9">
        <f>SUMIFS($E:$E,$B:$B,"="&amp;$H84,$A:$A,"="&amp;R$1)</f>
        <v>0</v>
      </c>
      <c r="S84" s="9">
        <f>SUMIFS($E:$E,$B:$B,"="&amp;$H84,$A:$A,"="&amp;S$1)</f>
        <v>0</v>
      </c>
      <c r="T84" s="9">
        <f>SUMIFS($E:$E,$B:$B,"="&amp;$H84,$A:$A,"="&amp;T$1)</f>
        <v>0</v>
      </c>
      <c r="U84" s="9">
        <f>SUMIFS($E:$E,$B:$B,"="&amp;$H84,$A:$A,"="&amp;U$1)</f>
        <v>0</v>
      </c>
      <c r="V84" s="9">
        <f>SUMIFS($E:$E,$B:$B,"="&amp;$H84,$A:$A,"="&amp;V$1)</f>
        <v>0</v>
      </c>
      <c r="W84" s="9">
        <f>SUMIFS($E:$E,$B:$B,"="&amp;$H84,$A:$A,"="&amp;W$1)</f>
        <v>0</v>
      </c>
      <c r="X84" s="9">
        <f>SUMIFS($E:$E,$B:$B,"="&amp;$H84,$A:$A,"="&amp;X$1)</f>
        <v>0</v>
      </c>
      <c r="Y84" s="9">
        <f>SUMIFS($E:$E,$B:$B,"="&amp;$H84,$A:$A,"="&amp;Y$1)</f>
        <v>0</v>
      </c>
      <c r="Z84" s="9">
        <f>SUMIFS($E:$E,$B:$B,"="&amp;$H84,$A:$A,"="&amp;Z$1)</f>
        <v>0</v>
      </c>
      <c r="AA84" s="9">
        <f>SUMIFS($E:$E,$B:$B,"="&amp;$H84,$A:$A,"="&amp;AA$1)</f>
        <v>2</v>
      </c>
      <c r="AB84" s="9">
        <f>SUMIFS($E:$E,$B:$B,"="&amp;$H84,$A:$A,"="&amp;AB$1)</f>
        <v>2</v>
      </c>
      <c r="AC84" s="9">
        <f>SUMIFS($E:$E,$B:$B,"="&amp;$H84,$A:$A,"="&amp;AC$1)</f>
        <v>2</v>
      </c>
      <c r="AD84" s="9">
        <f>SUMIFS($E:$E,$B:$B,"="&amp;$H84,$A:$A,"="&amp;AD$1)</f>
        <v>2</v>
      </c>
      <c r="AE84" s="9">
        <f>SUMIFS($E:$E,$B:$B,"="&amp;$H84,$A:$A,"="&amp;AE$1)</f>
        <v>2</v>
      </c>
      <c r="AF84" s="9">
        <f>SUMIFS($E:$E,$B:$B,"="&amp;$H84,$A:$A,"="&amp;AF$1)</f>
        <v>2</v>
      </c>
      <c r="AH84" s="11">
        <f t="shared" si="6"/>
        <v>1</v>
      </c>
      <c r="AI84" s="11">
        <f t="shared" si="7"/>
        <v>22</v>
      </c>
      <c r="AJ84" s="11">
        <f t="shared" si="8"/>
        <v>0</v>
      </c>
    </row>
    <row r="85" spans="1:36" x14ac:dyDescent="0.25">
      <c r="A85" t="s">
        <v>13</v>
      </c>
      <c r="B85" t="s">
        <v>81</v>
      </c>
      <c r="C85">
        <v>1</v>
      </c>
      <c r="D85">
        <v>13</v>
      </c>
      <c r="E85">
        <v>10</v>
      </c>
      <c r="H85" t="s">
        <v>85</v>
      </c>
      <c r="I85" s="9">
        <f>SUMIFS($E:$E,$B:$B,"="&amp;$H85,$A:$A,"="&amp;I$1)</f>
        <v>0</v>
      </c>
      <c r="J85" s="9">
        <f>SUMIFS($E:$E,$B:$B,"="&amp;$H85,$A:$A,"="&amp;J$1)</f>
        <v>0</v>
      </c>
      <c r="K85" s="9">
        <f>SUMIFS($E:$E,$B:$B,"="&amp;$H85,$A:$A,"="&amp;K$1)</f>
        <v>0</v>
      </c>
      <c r="L85" s="9">
        <f>SUMIFS($E:$E,$B:$B,"="&amp;$H85,$A:$A,"="&amp;L$1)</f>
        <v>0</v>
      </c>
      <c r="M85" s="9">
        <f>SUMIFS($E:$E,$B:$B,"="&amp;$H85,$A:$A,"="&amp;M$1)</f>
        <v>0</v>
      </c>
      <c r="N85" s="9">
        <f>SUMIFS($E:$E,$B:$B,"="&amp;$H85,$A:$A,"="&amp;N$1)</f>
        <v>28</v>
      </c>
      <c r="O85" s="9">
        <f>SUMIFS($E:$E,$B:$B,"="&amp;$H85,$A:$A,"="&amp;O$1)</f>
        <v>28</v>
      </c>
      <c r="P85" s="9">
        <f>SUMIFS($E:$E,$B:$B,"="&amp;$H85,$A:$A,"="&amp;P$1)</f>
        <v>28</v>
      </c>
      <c r="Q85" s="9">
        <f>SUMIFS($E:$E,$B:$B,"="&amp;$H85,$A:$A,"="&amp;Q$1)</f>
        <v>28</v>
      </c>
      <c r="R85" s="9">
        <f>SUMIFS($E:$E,$B:$B,"="&amp;$H85,$A:$A,"="&amp;R$1)</f>
        <v>28</v>
      </c>
      <c r="S85" s="9">
        <f>SUMIFS($E:$E,$B:$B,"="&amp;$H85,$A:$A,"="&amp;S$1)</f>
        <v>51</v>
      </c>
      <c r="T85" s="9">
        <f>SUMIFS($E:$E,$B:$B,"="&amp;$H85,$A:$A,"="&amp;T$1)</f>
        <v>51</v>
      </c>
      <c r="U85" s="9">
        <f>SUMIFS($E:$E,$B:$B,"="&amp;$H85,$A:$A,"="&amp;U$1)</f>
        <v>51</v>
      </c>
      <c r="V85" s="9">
        <f>SUMIFS($E:$E,$B:$B,"="&amp;$H85,$A:$A,"="&amp;V$1)</f>
        <v>52</v>
      </c>
      <c r="W85" s="9">
        <f>SUMIFS($E:$E,$B:$B,"="&amp;$H85,$A:$A,"="&amp;W$1)</f>
        <v>52</v>
      </c>
      <c r="X85" s="9">
        <f>SUMIFS($E:$E,$B:$B,"="&amp;$H85,$A:$A,"="&amp;X$1)</f>
        <v>52</v>
      </c>
      <c r="Y85" s="9">
        <f>SUMIFS($E:$E,$B:$B,"="&amp;$H85,$A:$A,"="&amp;Y$1)</f>
        <v>52</v>
      </c>
      <c r="Z85" s="9">
        <f>SUMIFS($E:$E,$B:$B,"="&amp;$H85,$A:$A,"="&amp;Z$1)</f>
        <v>53</v>
      </c>
      <c r="AA85" s="9">
        <f>SUMIFS($E:$E,$B:$B,"="&amp;$H85,$A:$A,"="&amp;AA$1)</f>
        <v>53</v>
      </c>
      <c r="AB85" s="9">
        <f>SUMIFS($E:$E,$B:$B,"="&amp;$H85,$A:$A,"="&amp;AB$1)</f>
        <v>53</v>
      </c>
      <c r="AC85" s="9">
        <f>SUMIFS($E:$E,$B:$B,"="&amp;$H85,$A:$A,"="&amp;AC$1)</f>
        <v>53</v>
      </c>
      <c r="AD85" s="9">
        <f>SUMIFS($E:$E,$B:$B,"="&amp;$H85,$A:$A,"="&amp;AD$1)</f>
        <v>53</v>
      </c>
      <c r="AE85" s="9">
        <f>SUMIFS($E:$E,$B:$B,"="&amp;$H85,$A:$A,"="&amp;AE$1)</f>
        <v>53</v>
      </c>
      <c r="AF85" s="9">
        <f>SUMIFS($E:$E,$B:$B,"="&amp;$H85,$A:$A,"="&amp;AF$1)</f>
        <v>53</v>
      </c>
      <c r="AH85" s="11">
        <f t="shared" si="6"/>
        <v>4</v>
      </c>
      <c r="AI85" s="11">
        <f t="shared" si="7"/>
        <v>19</v>
      </c>
      <c r="AJ85" s="11">
        <f t="shared" si="8"/>
        <v>0</v>
      </c>
    </row>
    <row r="86" spans="1:36" x14ac:dyDescent="0.25">
      <c r="A86" t="s">
        <v>13</v>
      </c>
      <c r="B86" t="s">
        <v>74</v>
      </c>
      <c r="C86">
        <v>121</v>
      </c>
      <c r="D86">
        <v>43</v>
      </c>
      <c r="E86">
        <v>75</v>
      </c>
      <c r="H86" t="s">
        <v>86</v>
      </c>
      <c r="I86" s="9">
        <f>SUMIFS($E:$E,$B:$B,"="&amp;$H86,$A:$A,"="&amp;I$1)</f>
        <v>0</v>
      </c>
      <c r="J86" s="9">
        <f>SUMIFS($E:$E,$B:$B,"="&amp;$H86,$A:$A,"="&amp;J$1)</f>
        <v>0</v>
      </c>
      <c r="K86" s="9">
        <f>SUMIFS($E:$E,$B:$B,"="&amp;$H86,$A:$A,"="&amp;K$1)</f>
        <v>0</v>
      </c>
      <c r="L86" s="9">
        <f>SUMIFS($E:$E,$B:$B,"="&amp;$H86,$A:$A,"="&amp;L$1)</f>
        <v>0</v>
      </c>
      <c r="M86" s="9">
        <f>SUMIFS($E:$E,$B:$B,"="&amp;$H86,$A:$A,"="&amp;M$1)</f>
        <v>0</v>
      </c>
      <c r="N86" s="9">
        <f>SUMIFS($E:$E,$B:$B,"="&amp;$H86,$A:$A,"="&amp;N$1)</f>
        <v>7</v>
      </c>
      <c r="O86" s="9">
        <f>SUMIFS($E:$E,$B:$B,"="&amp;$H86,$A:$A,"="&amp;O$1)</f>
        <v>7</v>
      </c>
      <c r="P86" s="9">
        <f>SUMIFS($E:$E,$B:$B,"="&amp;$H86,$A:$A,"="&amp;P$1)</f>
        <v>7</v>
      </c>
      <c r="Q86" s="9">
        <f>SUMIFS($E:$E,$B:$B,"="&amp;$H86,$A:$A,"="&amp;Q$1)</f>
        <v>7</v>
      </c>
      <c r="R86" s="9">
        <f>SUMIFS($E:$E,$B:$B,"="&amp;$H86,$A:$A,"="&amp;R$1)</f>
        <v>7</v>
      </c>
      <c r="S86" s="9">
        <f>SUMIFS($E:$E,$B:$B,"="&amp;$H86,$A:$A,"="&amp;S$1)</f>
        <v>7</v>
      </c>
      <c r="T86" s="9">
        <f>SUMIFS($E:$E,$B:$B,"="&amp;$H86,$A:$A,"="&amp;T$1)</f>
        <v>7</v>
      </c>
      <c r="U86" s="9">
        <f>SUMIFS($E:$E,$B:$B,"="&amp;$H86,$A:$A,"="&amp;U$1)</f>
        <v>7</v>
      </c>
      <c r="V86" s="9">
        <f>SUMIFS($E:$E,$B:$B,"="&amp;$H86,$A:$A,"="&amp;V$1)</f>
        <v>7</v>
      </c>
      <c r="W86" s="9">
        <f>SUMIFS($E:$E,$B:$B,"="&amp;$H86,$A:$A,"="&amp;W$1)</f>
        <v>7</v>
      </c>
      <c r="X86" s="9">
        <f>SUMIFS($E:$E,$B:$B,"="&amp;$H86,$A:$A,"="&amp;X$1)</f>
        <v>7</v>
      </c>
      <c r="Y86" s="9">
        <f>SUMIFS($E:$E,$B:$B,"="&amp;$H86,$A:$A,"="&amp;Y$1)</f>
        <v>9</v>
      </c>
      <c r="Z86" s="9">
        <f>SUMIFS($E:$E,$B:$B,"="&amp;$H86,$A:$A,"="&amp;Z$1)</f>
        <v>11</v>
      </c>
      <c r="AA86" s="9">
        <f>SUMIFS($E:$E,$B:$B,"="&amp;$H86,$A:$A,"="&amp;AA$1)</f>
        <v>11</v>
      </c>
      <c r="AB86" s="9">
        <f>SUMIFS($E:$E,$B:$B,"="&amp;$H86,$A:$A,"="&amp;AB$1)</f>
        <v>11</v>
      </c>
      <c r="AC86" s="9">
        <f>SUMIFS($E:$E,$B:$B,"="&amp;$H86,$A:$A,"="&amp;AC$1)</f>
        <v>11</v>
      </c>
      <c r="AD86" s="9">
        <f>SUMIFS($E:$E,$B:$B,"="&amp;$H86,$A:$A,"="&amp;AD$1)</f>
        <v>11</v>
      </c>
      <c r="AE86" s="9">
        <f>SUMIFS($E:$E,$B:$B,"="&amp;$H86,$A:$A,"="&amp;AE$1)</f>
        <v>11</v>
      </c>
      <c r="AF86" s="9">
        <f>SUMIFS($E:$E,$B:$B,"="&amp;$H86,$A:$A,"="&amp;AF$1)</f>
        <v>11</v>
      </c>
      <c r="AH86" s="11">
        <f t="shared" si="6"/>
        <v>3</v>
      </c>
      <c r="AI86" s="11">
        <f t="shared" si="7"/>
        <v>20</v>
      </c>
      <c r="AJ86" s="11">
        <f t="shared" si="8"/>
        <v>0</v>
      </c>
    </row>
    <row r="87" spans="1:36" x14ac:dyDescent="0.25">
      <c r="A87" t="s">
        <v>13</v>
      </c>
      <c r="B87" t="s">
        <v>89</v>
      </c>
      <c r="C87">
        <v>3</v>
      </c>
      <c r="D87">
        <v>14</v>
      </c>
      <c r="E87">
        <v>77</v>
      </c>
      <c r="H87" t="s">
        <v>87</v>
      </c>
      <c r="I87" s="9">
        <f>SUMIFS($E:$E,$B:$B,"="&amp;$H87,$A:$A,"="&amp;I$1)</f>
        <v>0</v>
      </c>
      <c r="J87" s="9">
        <f>SUMIFS($E:$E,$B:$B,"="&amp;$H87,$A:$A,"="&amp;J$1)</f>
        <v>0</v>
      </c>
      <c r="K87" s="9">
        <f>SUMIFS($E:$E,$B:$B,"="&amp;$H87,$A:$A,"="&amp;K$1)</f>
        <v>0</v>
      </c>
      <c r="L87" s="9">
        <f>SUMIFS($E:$E,$B:$B,"="&amp;$H87,$A:$A,"="&amp;L$1)</f>
        <v>0</v>
      </c>
      <c r="M87" s="9">
        <f>SUMIFS($E:$E,$B:$B,"="&amp;$H87,$A:$A,"="&amp;M$1)</f>
        <v>0</v>
      </c>
      <c r="N87" s="9">
        <f>SUMIFS($E:$E,$B:$B,"="&amp;$H87,$A:$A,"="&amp;N$1)</f>
        <v>13</v>
      </c>
      <c r="O87" s="9">
        <f>SUMIFS($E:$E,$B:$B,"="&amp;$H87,$A:$A,"="&amp;O$1)</f>
        <v>13</v>
      </c>
      <c r="P87" s="9">
        <f>SUMIFS($E:$E,$B:$B,"="&amp;$H87,$A:$A,"="&amp;P$1)</f>
        <v>13</v>
      </c>
      <c r="Q87" s="9">
        <f>SUMIFS($E:$E,$B:$B,"="&amp;$H87,$A:$A,"="&amp;Q$1)</f>
        <v>13</v>
      </c>
      <c r="R87" s="9">
        <f>SUMIFS($E:$E,$B:$B,"="&amp;$H87,$A:$A,"="&amp;R$1)</f>
        <v>13</v>
      </c>
      <c r="S87" s="9">
        <f>SUMIFS($E:$E,$B:$B,"="&amp;$H87,$A:$A,"="&amp;S$1)</f>
        <v>13</v>
      </c>
      <c r="T87" s="9">
        <f>SUMIFS($E:$E,$B:$B,"="&amp;$H87,$A:$A,"="&amp;T$1)</f>
        <v>14</v>
      </c>
      <c r="U87" s="9">
        <f>SUMIFS($E:$E,$B:$B,"="&amp;$H87,$A:$A,"="&amp;U$1)</f>
        <v>14</v>
      </c>
      <c r="V87" s="9">
        <f>SUMIFS($E:$E,$B:$B,"="&amp;$H87,$A:$A,"="&amp;V$1)</f>
        <v>14</v>
      </c>
      <c r="W87" s="9">
        <f>SUMIFS($E:$E,$B:$B,"="&amp;$H87,$A:$A,"="&amp;W$1)</f>
        <v>14</v>
      </c>
      <c r="X87" s="9">
        <f>SUMIFS($E:$E,$B:$B,"="&amp;$H87,$A:$A,"="&amp;X$1)</f>
        <v>14</v>
      </c>
      <c r="Y87" s="9">
        <f>SUMIFS($E:$E,$B:$B,"="&amp;$H87,$A:$A,"="&amp;Y$1)</f>
        <v>14</v>
      </c>
      <c r="Z87" s="9">
        <f>SUMIFS($E:$E,$B:$B,"="&amp;$H87,$A:$A,"="&amp;Z$1)</f>
        <v>14</v>
      </c>
      <c r="AA87" s="9">
        <f>SUMIFS($E:$E,$B:$B,"="&amp;$H87,$A:$A,"="&amp;AA$1)</f>
        <v>14</v>
      </c>
      <c r="AB87" s="9">
        <f>SUMIFS($E:$E,$B:$B,"="&amp;$H87,$A:$A,"="&amp;AB$1)</f>
        <v>14</v>
      </c>
      <c r="AC87" s="9">
        <f>SUMIFS($E:$E,$B:$B,"="&amp;$H87,$A:$A,"="&amp;AC$1)</f>
        <v>14</v>
      </c>
      <c r="AD87" s="9">
        <f>SUMIFS($E:$E,$B:$B,"="&amp;$H87,$A:$A,"="&amp;AD$1)</f>
        <v>14</v>
      </c>
      <c r="AE87" s="9">
        <f>SUMIFS($E:$E,$B:$B,"="&amp;$H87,$A:$A,"="&amp;AE$1)</f>
        <v>14</v>
      </c>
      <c r="AF87" s="9">
        <f>SUMIFS($E:$E,$B:$B,"="&amp;$H87,$A:$A,"="&amp;AF$1)</f>
        <v>14</v>
      </c>
      <c r="AH87" s="11">
        <f t="shared" si="6"/>
        <v>2</v>
      </c>
      <c r="AI87" s="11">
        <f t="shared" si="7"/>
        <v>21</v>
      </c>
      <c r="AJ87" s="11">
        <f t="shared" si="8"/>
        <v>0</v>
      </c>
    </row>
    <row r="88" spans="1:36" x14ac:dyDescent="0.25">
      <c r="A88" t="s">
        <v>13</v>
      </c>
      <c r="B88" t="s">
        <v>77</v>
      </c>
      <c r="C88">
        <v>60</v>
      </c>
      <c r="D88">
        <v>8</v>
      </c>
      <c r="E88">
        <v>12</v>
      </c>
      <c r="H88" t="s">
        <v>88</v>
      </c>
      <c r="I88" s="9">
        <f>SUMIFS($E:$E,$B:$B,"="&amp;$H88,$A:$A,"="&amp;I$1)</f>
        <v>0</v>
      </c>
      <c r="J88" s="9">
        <f>SUMIFS($E:$E,$B:$B,"="&amp;$H88,$A:$A,"="&amp;J$1)</f>
        <v>0</v>
      </c>
      <c r="K88" s="9">
        <f>SUMIFS($E:$E,$B:$B,"="&amp;$H88,$A:$A,"="&amp;K$1)</f>
        <v>0</v>
      </c>
      <c r="L88" s="9">
        <f>SUMIFS($E:$E,$B:$B,"="&amp;$H88,$A:$A,"="&amp;L$1)</f>
        <v>0</v>
      </c>
      <c r="M88" s="9">
        <f>SUMIFS($E:$E,$B:$B,"="&amp;$H88,$A:$A,"="&amp;M$1)</f>
        <v>0</v>
      </c>
      <c r="N88" s="9">
        <f>SUMIFS($E:$E,$B:$B,"="&amp;$H88,$A:$A,"="&amp;N$1)</f>
        <v>11</v>
      </c>
      <c r="O88" s="9">
        <f>SUMIFS($E:$E,$B:$B,"="&amp;$H88,$A:$A,"="&amp;O$1)</f>
        <v>11</v>
      </c>
      <c r="P88" s="9">
        <f>SUMIFS($E:$E,$B:$B,"="&amp;$H88,$A:$A,"="&amp;P$1)</f>
        <v>11</v>
      </c>
      <c r="Q88" s="9">
        <f>SUMIFS($E:$E,$B:$B,"="&amp;$H88,$A:$A,"="&amp;Q$1)</f>
        <v>11</v>
      </c>
      <c r="R88" s="9">
        <f>SUMIFS($E:$E,$B:$B,"="&amp;$H88,$A:$A,"="&amp;R$1)</f>
        <v>11</v>
      </c>
      <c r="S88" s="9">
        <f>SUMIFS($E:$E,$B:$B,"="&amp;$H88,$A:$A,"="&amp;S$1)</f>
        <v>13</v>
      </c>
      <c r="T88" s="9">
        <f>SUMIFS($E:$E,$B:$B,"="&amp;$H88,$A:$A,"="&amp;T$1)</f>
        <v>13</v>
      </c>
      <c r="U88" s="9">
        <f>SUMIFS($E:$E,$B:$B,"="&amp;$H88,$A:$A,"="&amp;U$1)</f>
        <v>13</v>
      </c>
      <c r="V88" s="9">
        <f>SUMIFS($E:$E,$B:$B,"="&amp;$H88,$A:$A,"="&amp;V$1)</f>
        <v>13</v>
      </c>
      <c r="W88" s="9">
        <f>SUMIFS($E:$E,$B:$B,"="&amp;$H88,$A:$A,"="&amp;W$1)</f>
        <v>13</v>
      </c>
      <c r="X88" s="9">
        <f>SUMIFS($E:$E,$B:$B,"="&amp;$H88,$A:$A,"="&amp;X$1)</f>
        <v>13</v>
      </c>
      <c r="Y88" s="9">
        <f>SUMIFS($E:$E,$B:$B,"="&amp;$H88,$A:$A,"="&amp;Y$1)</f>
        <v>14</v>
      </c>
      <c r="Z88" s="9">
        <f>SUMIFS($E:$E,$B:$B,"="&amp;$H88,$A:$A,"="&amp;Z$1)</f>
        <v>14</v>
      </c>
      <c r="AA88" s="9">
        <f>SUMIFS($E:$E,$B:$B,"="&amp;$H88,$A:$A,"="&amp;AA$1)</f>
        <v>14</v>
      </c>
      <c r="AB88" s="9">
        <f>SUMIFS($E:$E,$B:$B,"="&amp;$H88,$A:$A,"="&amp;AB$1)</f>
        <v>14</v>
      </c>
      <c r="AC88" s="9">
        <f>SUMIFS($E:$E,$B:$B,"="&amp;$H88,$A:$A,"="&amp;AC$1)</f>
        <v>14</v>
      </c>
      <c r="AD88" s="9">
        <f>SUMIFS($E:$E,$B:$B,"="&amp;$H88,$A:$A,"="&amp;AD$1)</f>
        <v>14</v>
      </c>
      <c r="AE88" s="9">
        <f>SUMIFS($E:$E,$B:$B,"="&amp;$H88,$A:$A,"="&amp;AE$1)</f>
        <v>14</v>
      </c>
      <c r="AF88" s="9">
        <f>SUMIFS($E:$E,$B:$B,"="&amp;$H88,$A:$A,"="&amp;AF$1)</f>
        <v>15</v>
      </c>
      <c r="AH88" s="11">
        <f t="shared" si="6"/>
        <v>4</v>
      </c>
      <c r="AI88" s="11">
        <f t="shared" si="7"/>
        <v>19</v>
      </c>
      <c r="AJ88" s="11">
        <f t="shared" si="8"/>
        <v>0</v>
      </c>
    </row>
    <row r="89" spans="1:36" x14ac:dyDescent="0.25">
      <c r="A89" t="s">
        <v>13</v>
      </c>
      <c r="B89" t="s">
        <v>90</v>
      </c>
      <c r="C89">
        <v>4</v>
      </c>
      <c r="D89">
        <v>2</v>
      </c>
      <c r="E89">
        <v>1</v>
      </c>
      <c r="H89" t="s">
        <v>89</v>
      </c>
      <c r="I89" s="9">
        <f>SUMIFS($E:$E,$B:$B,"="&amp;$H89,$A:$A,"="&amp;I$1)</f>
        <v>0</v>
      </c>
      <c r="J89" s="9">
        <f>SUMIFS($E:$E,$B:$B,"="&amp;$H89,$A:$A,"="&amp;J$1)</f>
        <v>0</v>
      </c>
      <c r="K89" s="9">
        <f>SUMIFS($E:$E,$B:$B,"="&amp;$H89,$A:$A,"="&amp;K$1)</f>
        <v>0</v>
      </c>
      <c r="L89" s="9">
        <f>SUMIFS($E:$E,$B:$B,"="&amp;$H89,$A:$A,"="&amp;L$1)</f>
        <v>0</v>
      </c>
      <c r="M89" s="9">
        <f>SUMIFS($E:$E,$B:$B,"="&amp;$H89,$A:$A,"="&amp;M$1)</f>
        <v>0</v>
      </c>
      <c r="N89" s="9">
        <f>SUMIFS($E:$E,$B:$B,"="&amp;$H89,$A:$A,"="&amp;N$1)</f>
        <v>77</v>
      </c>
      <c r="O89" s="9">
        <f>SUMIFS($E:$E,$B:$B,"="&amp;$H89,$A:$A,"="&amp;O$1)</f>
        <v>77</v>
      </c>
      <c r="P89" s="9">
        <f>SUMIFS($E:$E,$B:$B,"="&amp;$H89,$A:$A,"="&amp;P$1)</f>
        <v>77</v>
      </c>
      <c r="Q89" s="9">
        <f>SUMIFS($E:$E,$B:$B,"="&amp;$H89,$A:$A,"="&amp;Q$1)</f>
        <v>77</v>
      </c>
      <c r="R89" s="9">
        <f>SUMIFS($E:$E,$B:$B,"="&amp;$H89,$A:$A,"="&amp;R$1)</f>
        <v>77</v>
      </c>
      <c r="S89" s="9">
        <f>SUMIFS($E:$E,$B:$B,"="&amp;$H89,$A:$A,"="&amp;S$1)</f>
        <v>91</v>
      </c>
      <c r="T89" s="9">
        <f>SUMIFS($E:$E,$B:$B,"="&amp;$H89,$A:$A,"="&amp;T$1)</f>
        <v>91</v>
      </c>
      <c r="U89" s="9">
        <f>SUMIFS($E:$E,$B:$B,"="&amp;$H89,$A:$A,"="&amp;U$1)</f>
        <v>81</v>
      </c>
      <c r="V89" s="9">
        <f>SUMIFS($E:$E,$B:$B,"="&amp;$H89,$A:$A,"="&amp;V$1)</f>
        <v>101</v>
      </c>
      <c r="W89" s="9">
        <f>SUMIFS($E:$E,$B:$B,"="&amp;$H89,$A:$A,"="&amp;W$1)</f>
        <v>101</v>
      </c>
      <c r="X89" s="9">
        <f>SUMIFS($E:$E,$B:$B,"="&amp;$H89,$A:$A,"="&amp;X$1)</f>
        <v>101</v>
      </c>
      <c r="Y89" s="9">
        <f>SUMIFS($E:$E,$B:$B,"="&amp;$H89,$A:$A,"="&amp;Y$1)</f>
        <v>103</v>
      </c>
      <c r="Z89" s="9">
        <f>SUMIFS($E:$E,$B:$B,"="&amp;$H89,$A:$A,"="&amp;Z$1)</f>
        <v>103</v>
      </c>
      <c r="AA89" s="9">
        <f>SUMIFS($E:$E,$B:$B,"="&amp;$H89,$A:$A,"="&amp;AA$1)</f>
        <v>115</v>
      </c>
      <c r="AB89" s="9">
        <f>SUMIFS($E:$E,$B:$B,"="&amp;$H89,$A:$A,"="&amp;AB$1)</f>
        <v>115</v>
      </c>
      <c r="AC89" s="9">
        <f>SUMIFS($E:$E,$B:$B,"="&amp;$H89,$A:$A,"="&amp;AC$1)</f>
        <v>115</v>
      </c>
      <c r="AD89" s="9">
        <f>SUMIFS($E:$E,$B:$B,"="&amp;$H89,$A:$A,"="&amp;AD$1)</f>
        <v>115</v>
      </c>
      <c r="AE89" s="9">
        <f>SUMIFS($E:$E,$B:$B,"="&amp;$H89,$A:$A,"="&amp;AE$1)</f>
        <v>115</v>
      </c>
      <c r="AF89" s="9">
        <f>SUMIFS($E:$E,$B:$B,"="&amp;$H89,$A:$A,"="&amp;AF$1)</f>
        <v>115</v>
      </c>
      <c r="AH89" s="11">
        <f t="shared" si="6"/>
        <v>5</v>
      </c>
      <c r="AI89" s="11">
        <f t="shared" si="7"/>
        <v>17</v>
      </c>
      <c r="AJ89" s="11">
        <f t="shared" si="8"/>
        <v>1</v>
      </c>
    </row>
    <row r="90" spans="1:36" x14ac:dyDescent="0.25">
      <c r="A90" t="s">
        <v>13</v>
      </c>
      <c r="B90" t="s">
        <v>78</v>
      </c>
      <c r="C90">
        <v>3</v>
      </c>
      <c r="D90">
        <v>2</v>
      </c>
      <c r="E90">
        <v>5</v>
      </c>
      <c r="H90" t="s">
        <v>90</v>
      </c>
      <c r="I90" s="9">
        <f>SUMIFS($E:$E,$B:$B,"="&amp;$H90,$A:$A,"="&amp;I$1)</f>
        <v>0</v>
      </c>
      <c r="J90" s="9">
        <f>SUMIFS($E:$E,$B:$B,"="&amp;$H90,$A:$A,"="&amp;J$1)</f>
        <v>0</v>
      </c>
      <c r="K90" s="9">
        <f>SUMIFS($E:$E,$B:$B,"="&amp;$H90,$A:$A,"="&amp;K$1)</f>
        <v>0</v>
      </c>
      <c r="L90" s="9">
        <f>SUMIFS($E:$E,$B:$B,"="&amp;$H90,$A:$A,"="&amp;L$1)</f>
        <v>0</v>
      </c>
      <c r="M90" s="9">
        <f>SUMIFS($E:$E,$B:$B,"="&amp;$H90,$A:$A,"="&amp;M$1)</f>
        <v>0</v>
      </c>
      <c r="N90" s="9">
        <f>SUMIFS($E:$E,$B:$B,"="&amp;$H90,$A:$A,"="&amp;N$1)</f>
        <v>1</v>
      </c>
      <c r="O90" s="9">
        <f>SUMIFS($E:$E,$B:$B,"="&amp;$H90,$A:$A,"="&amp;O$1)</f>
        <v>1</v>
      </c>
      <c r="P90" s="9">
        <f>SUMIFS($E:$E,$B:$B,"="&amp;$H90,$A:$A,"="&amp;P$1)</f>
        <v>1</v>
      </c>
      <c r="Q90" s="9">
        <f>SUMIFS($E:$E,$B:$B,"="&amp;$H90,$A:$A,"="&amp;Q$1)</f>
        <v>1</v>
      </c>
      <c r="R90" s="9">
        <f>SUMIFS($E:$E,$B:$B,"="&amp;$H90,$A:$A,"="&amp;R$1)</f>
        <v>1</v>
      </c>
      <c r="S90" s="9">
        <f>SUMIFS($E:$E,$B:$B,"="&amp;$H90,$A:$A,"="&amp;S$1)</f>
        <v>1</v>
      </c>
      <c r="T90" s="9">
        <f>SUMIFS($E:$E,$B:$B,"="&amp;$H90,$A:$A,"="&amp;T$1)</f>
        <v>1</v>
      </c>
      <c r="U90" s="9">
        <f>SUMIFS($E:$E,$B:$B,"="&amp;$H90,$A:$A,"="&amp;U$1)</f>
        <v>1</v>
      </c>
      <c r="V90" s="9">
        <f>SUMIFS($E:$E,$B:$B,"="&amp;$H90,$A:$A,"="&amp;V$1)</f>
        <v>1</v>
      </c>
      <c r="W90" s="9">
        <f>SUMIFS($E:$E,$B:$B,"="&amp;$H90,$A:$A,"="&amp;W$1)</f>
        <v>1</v>
      </c>
      <c r="X90" s="9">
        <f>SUMIFS($E:$E,$B:$B,"="&amp;$H90,$A:$A,"="&amp;X$1)</f>
        <v>1</v>
      </c>
      <c r="Y90" s="9">
        <f>SUMIFS($E:$E,$B:$B,"="&amp;$H90,$A:$A,"="&amp;Y$1)</f>
        <v>1</v>
      </c>
      <c r="Z90" s="9">
        <f>SUMIFS($E:$E,$B:$B,"="&amp;$H90,$A:$A,"="&amp;Z$1)</f>
        <v>1</v>
      </c>
      <c r="AA90" s="9">
        <f>SUMIFS($E:$E,$B:$B,"="&amp;$H90,$A:$A,"="&amp;AA$1)</f>
        <v>1</v>
      </c>
      <c r="AB90" s="9">
        <f>SUMIFS($E:$E,$B:$B,"="&amp;$H90,$A:$A,"="&amp;AB$1)</f>
        <v>1</v>
      </c>
      <c r="AC90" s="9">
        <f>SUMIFS($E:$E,$B:$B,"="&amp;$H90,$A:$A,"="&amp;AC$1)</f>
        <v>1</v>
      </c>
      <c r="AD90" s="9">
        <f>SUMIFS($E:$E,$B:$B,"="&amp;$H90,$A:$A,"="&amp;AD$1)</f>
        <v>1</v>
      </c>
      <c r="AE90" s="9">
        <f>SUMIFS($E:$E,$B:$B,"="&amp;$H90,$A:$A,"="&amp;AE$1)</f>
        <v>1</v>
      </c>
      <c r="AF90" s="9">
        <f>SUMIFS($E:$E,$B:$B,"="&amp;$H90,$A:$A,"="&amp;AF$1)</f>
        <v>1</v>
      </c>
      <c r="AH90" s="11">
        <f t="shared" si="6"/>
        <v>1</v>
      </c>
      <c r="AI90" s="11">
        <f t="shared" si="7"/>
        <v>22</v>
      </c>
      <c r="AJ90" s="11">
        <f t="shared" si="8"/>
        <v>0</v>
      </c>
    </row>
    <row r="91" spans="1:36" x14ac:dyDescent="0.25">
      <c r="A91" t="s">
        <v>13</v>
      </c>
      <c r="B91" t="s">
        <v>91</v>
      </c>
      <c r="C91">
        <v>4</v>
      </c>
      <c r="D91">
        <v>0</v>
      </c>
      <c r="E91">
        <v>9</v>
      </c>
      <c r="H91" t="s">
        <v>91</v>
      </c>
      <c r="I91" s="9">
        <f>SUMIFS($E:$E,$B:$B,"="&amp;$H91,$A:$A,"="&amp;I$1)</f>
        <v>0</v>
      </c>
      <c r="J91" s="9">
        <f>SUMIFS($E:$E,$B:$B,"="&amp;$H91,$A:$A,"="&amp;J$1)</f>
        <v>0</v>
      </c>
      <c r="K91" s="9">
        <f>SUMIFS($E:$E,$B:$B,"="&amp;$H91,$A:$A,"="&amp;K$1)</f>
        <v>0</v>
      </c>
      <c r="L91" s="9">
        <f>SUMIFS($E:$E,$B:$B,"="&amp;$H91,$A:$A,"="&amp;L$1)</f>
        <v>0</v>
      </c>
      <c r="M91" s="9">
        <f>SUMIFS($E:$E,$B:$B,"="&amp;$H91,$A:$A,"="&amp;M$1)</f>
        <v>0</v>
      </c>
      <c r="N91" s="9">
        <f>SUMIFS($E:$E,$B:$B,"="&amp;$H91,$A:$A,"="&amp;N$1)</f>
        <v>9</v>
      </c>
      <c r="O91" s="9">
        <f>SUMIFS($E:$E,$B:$B,"="&amp;$H91,$A:$A,"="&amp;O$1)</f>
        <v>9</v>
      </c>
      <c r="P91" s="9">
        <f>SUMIFS($E:$E,$B:$B,"="&amp;$H91,$A:$A,"="&amp;P$1)</f>
        <v>9</v>
      </c>
      <c r="Q91" s="9">
        <f>SUMIFS($E:$E,$B:$B,"="&amp;$H91,$A:$A,"="&amp;Q$1)</f>
        <v>9</v>
      </c>
      <c r="R91" s="9">
        <f>SUMIFS($E:$E,$B:$B,"="&amp;$H91,$A:$A,"="&amp;R$1)</f>
        <v>9</v>
      </c>
      <c r="S91" s="9">
        <f>SUMIFS($E:$E,$B:$B,"="&amp;$H91,$A:$A,"="&amp;S$1)</f>
        <v>9</v>
      </c>
      <c r="T91" s="9">
        <f>SUMIFS($E:$E,$B:$B,"="&amp;$H91,$A:$A,"="&amp;T$1)</f>
        <v>9</v>
      </c>
      <c r="U91" s="9">
        <f>SUMIFS($E:$E,$B:$B,"="&amp;$H91,$A:$A,"="&amp;U$1)</f>
        <v>9</v>
      </c>
      <c r="V91" s="9">
        <f>SUMIFS($E:$E,$B:$B,"="&amp;$H91,$A:$A,"="&amp;V$1)</f>
        <v>9</v>
      </c>
      <c r="W91" s="9">
        <f>SUMIFS($E:$E,$B:$B,"="&amp;$H91,$A:$A,"="&amp;W$1)</f>
        <v>9</v>
      </c>
      <c r="X91" s="9">
        <f>SUMIFS($E:$E,$B:$B,"="&amp;$H91,$A:$A,"="&amp;X$1)</f>
        <v>9</v>
      </c>
      <c r="Y91" s="9">
        <f>SUMIFS($E:$E,$B:$B,"="&amp;$H91,$A:$A,"="&amp;Y$1)</f>
        <v>8</v>
      </c>
      <c r="Z91" s="9">
        <f>SUMIFS($E:$E,$B:$B,"="&amp;$H91,$A:$A,"="&amp;Z$1)</f>
        <v>11</v>
      </c>
      <c r="AA91" s="9">
        <f>SUMIFS($E:$E,$B:$B,"="&amp;$H91,$A:$A,"="&amp;AA$1)</f>
        <v>8</v>
      </c>
      <c r="AB91" s="9">
        <f>SUMIFS($E:$E,$B:$B,"="&amp;$H91,$A:$A,"="&amp;AB$1)</f>
        <v>8</v>
      </c>
      <c r="AC91" s="9">
        <f>SUMIFS($E:$E,$B:$B,"="&amp;$H91,$A:$A,"="&amp;AC$1)</f>
        <v>8</v>
      </c>
      <c r="AD91" s="9">
        <f>SUMIFS($E:$E,$B:$B,"="&amp;$H91,$A:$A,"="&amp;AD$1)</f>
        <v>8</v>
      </c>
      <c r="AE91" s="9">
        <f>SUMIFS($E:$E,$B:$B,"="&amp;$H91,$A:$A,"="&amp;AE$1)</f>
        <v>11</v>
      </c>
      <c r="AF91" s="9">
        <f>SUMIFS($E:$E,$B:$B,"="&amp;$H91,$A:$A,"="&amp;AF$1)</f>
        <v>11</v>
      </c>
      <c r="AH91" s="11">
        <f t="shared" si="6"/>
        <v>3</v>
      </c>
      <c r="AI91" s="11">
        <f t="shared" si="7"/>
        <v>18</v>
      </c>
      <c r="AJ91" s="11">
        <f t="shared" si="8"/>
        <v>2</v>
      </c>
    </row>
    <row r="92" spans="1:36" x14ac:dyDescent="0.25">
      <c r="A92" t="s">
        <v>13</v>
      </c>
      <c r="B92" t="s">
        <v>75</v>
      </c>
      <c r="C92">
        <v>2</v>
      </c>
      <c r="D92">
        <v>0</v>
      </c>
      <c r="E92">
        <v>3</v>
      </c>
      <c r="H92" t="s">
        <v>79</v>
      </c>
      <c r="I92" s="9">
        <f>SUMIFS($E:$E,$B:$B,"="&amp;$H92,$A:$A,"="&amp;I$1)</f>
        <v>0</v>
      </c>
      <c r="J92" s="9">
        <f>SUMIFS($E:$E,$B:$B,"="&amp;$H92,$A:$A,"="&amp;J$1)</f>
        <v>0</v>
      </c>
      <c r="K92" s="9">
        <f>SUMIFS($E:$E,$B:$B,"="&amp;$H92,$A:$A,"="&amp;K$1)</f>
        <v>0</v>
      </c>
      <c r="L92" s="9">
        <f>SUMIFS($E:$E,$B:$B,"="&amp;$H92,$A:$A,"="&amp;L$1)</f>
        <v>0</v>
      </c>
      <c r="M92" s="9">
        <f>SUMIFS($E:$E,$B:$B,"="&amp;$H92,$A:$A,"="&amp;M$1)</f>
        <v>0</v>
      </c>
      <c r="N92" s="9">
        <f>SUMIFS($E:$E,$B:$B,"="&amp;$H92,$A:$A,"="&amp;N$1)</f>
        <v>0</v>
      </c>
      <c r="O92" s="9">
        <f>SUMIFS($E:$E,$B:$B,"="&amp;$H92,$A:$A,"="&amp;O$1)</f>
        <v>0</v>
      </c>
      <c r="P92" s="9">
        <f>SUMIFS($E:$E,$B:$B,"="&amp;$H92,$A:$A,"="&amp;P$1)</f>
        <v>0</v>
      </c>
      <c r="Q92" s="9">
        <f>SUMIFS($E:$E,$B:$B,"="&amp;$H92,$A:$A,"="&amp;Q$1)</f>
        <v>0</v>
      </c>
      <c r="R92" s="9">
        <f>SUMIFS($E:$E,$B:$B,"="&amp;$H92,$A:$A,"="&amp;R$1)</f>
        <v>0</v>
      </c>
      <c r="S92" s="9">
        <f>SUMIFS($E:$E,$B:$B,"="&amp;$H92,$A:$A,"="&amp;S$1)</f>
        <v>0</v>
      </c>
      <c r="T92" s="9">
        <f>SUMIFS($E:$E,$B:$B,"="&amp;$H92,$A:$A,"="&amp;T$1)</f>
        <v>0</v>
      </c>
      <c r="U92" s="9">
        <f>SUMIFS($E:$E,$B:$B,"="&amp;$H92,$A:$A,"="&amp;U$1)</f>
        <v>0</v>
      </c>
      <c r="V92" s="9">
        <f>SUMIFS($E:$E,$B:$B,"="&amp;$H92,$A:$A,"="&amp;V$1)</f>
        <v>0</v>
      </c>
      <c r="W92" s="9">
        <f>SUMIFS($E:$E,$B:$B,"="&amp;$H92,$A:$A,"="&amp;W$1)</f>
        <v>0</v>
      </c>
      <c r="X92" s="9">
        <f>SUMIFS($E:$E,$B:$B,"="&amp;$H92,$A:$A,"="&amp;X$1)</f>
        <v>0</v>
      </c>
      <c r="Y92" s="9">
        <f>SUMIFS($E:$E,$B:$B,"="&amp;$H92,$A:$A,"="&amp;Y$1)</f>
        <v>0</v>
      </c>
      <c r="Z92" s="9">
        <f>SUMIFS($E:$E,$B:$B,"="&amp;$H92,$A:$A,"="&amp;Z$1)</f>
        <v>5</v>
      </c>
      <c r="AA92" s="9">
        <f>SUMIFS($E:$E,$B:$B,"="&amp;$H92,$A:$A,"="&amp;AA$1)</f>
        <v>5</v>
      </c>
      <c r="AB92" s="9">
        <f>SUMIFS($E:$E,$B:$B,"="&amp;$H92,$A:$A,"="&amp;AB$1)</f>
        <v>6</v>
      </c>
      <c r="AC92" s="9">
        <f>SUMIFS($E:$E,$B:$B,"="&amp;$H92,$A:$A,"="&amp;AC$1)</f>
        <v>6</v>
      </c>
      <c r="AD92" s="9">
        <f>SUMIFS($E:$E,$B:$B,"="&amp;$H92,$A:$A,"="&amp;AD$1)</f>
        <v>6</v>
      </c>
      <c r="AE92" s="9">
        <f>SUMIFS($E:$E,$B:$B,"="&amp;$H92,$A:$A,"="&amp;AE$1)</f>
        <v>6</v>
      </c>
      <c r="AF92" s="9">
        <f>SUMIFS($E:$E,$B:$B,"="&amp;$H92,$A:$A,"="&amp;AF$1)</f>
        <v>6</v>
      </c>
      <c r="AH92" s="11">
        <f t="shared" si="6"/>
        <v>2</v>
      </c>
      <c r="AI92" s="11">
        <f t="shared" si="7"/>
        <v>21</v>
      </c>
      <c r="AJ92" s="11">
        <f t="shared" si="8"/>
        <v>0</v>
      </c>
    </row>
    <row r="93" spans="1:36" x14ac:dyDescent="0.25">
      <c r="A93" t="s">
        <v>13</v>
      </c>
      <c r="B93" t="s">
        <v>65</v>
      </c>
      <c r="C93">
        <v>2</v>
      </c>
      <c r="D93">
        <v>0</v>
      </c>
      <c r="E93">
        <v>6</v>
      </c>
      <c r="H93" t="s">
        <v>80</v>
      </c>
      <c r="I93" s="9">
        <f>SUMIFS($E:$E,$B:$B,"="&amp;$H93,$A:$A,"="&amp;I$1)</f>
        <v>0</v>
      </c>
      <c r="J93" s="9">
        <f>SUMIFS($E:$E,$B:$B,"="&amp;$H93,$A:$A,"="&amp;J$1)</f>
        <v>0</v>
      </c>
      <c r="K93" s="9">
        <f>SUMIFS($E:$E,$B:$B,"="&amp;$H93,$A:$A,"="&amp;K$1)</f>
        <v>0</v>
      </c>
      <c r="L93" s="9">
        <f>SUMIFS($E:$E,$B:$B,"="&amp;$H93,$A:$A,"="&amp;L$1)</f>
        <v>18</v>
      </c>
      <c r="M93" s="9">
        <f>SUMIFS($E:$E,$B:$B,"="&amp;$H93,$A:$A,"="&amp;M$1)</f>
        <v>18</v>
      </c>
      <c r="N93" s="9">
        <f>SUMIFS($E:$E,$B:$B,"="&amp;$H93,$A:$A,"="&amp;N$1)</f>
        <v>27</v>
      </c>
      <c r="O93" s="9">
        <f>SUMIFS($E:$E,$B:$B,"="&amp;$H93,$A:$A,"="&amp;O$1)</f>
        <v>27</v>
      </c>
      <c r="P93" s="9">
        <f>SUMIFS($E:$E,$B:$B,"="&amp;$H93,$A:$A,"="&amp;P$1)</f>
        <v>27</v>
      </c>
      <c r="Q93" s="9">
        <f>SUMIFS($E:$E,$B:$B,"="&amp;$H93,$A:$A,"="&amp;Q$1)</f>
        <v>27</v>
      </c>
      <c r="R93" s="9">
        <f>SUMIFS($E:$E,$B:$B,"="&amp;$H93,$A:$A,"="&amp;R$1)</f>
        <v>27</v>
      </c>
      <c r="S93" s="9">
        <f>SUMIFS($E:$E,$B:$B,"="&amp;$H93,$A:$A,"="&amp;S$1)</f>
        <v>30</v>
      </c>
      <c r="T93" s="9">
        <f>SUMIFS($E:$E,$B:$B,"="&amp;$H93,$A:$A,"="&amp;T$1)</f>
        <v>30</v>
      </c>
      <c r="U93" s="9">
        <f>SUMIFS($E:$E,$B:$B,"="&amp;$H93,$A:$A,"="&amp;U$1)</f>
        <v>30</v>
      </c>
      <c r="V93" s="9">
        <f>SUMIFS($E:$E,$B:$B,"="&amp;$H93,$A:$A,"="&amp;V$1)</f>
        <v>31</v>
      </c>
      <c r="W93" s="9">
        <f>SUMIFS($E:$E,$B:$B,"="&amp;$H93,$A:$A,"="&amp;W$1)</f>
        <v>31</v>
      </c>
      <c r="X93" s="9">
        <f>SUMIFS($E:$E,$B:$B,"="&amp;$H93,$A:$A,"="&amp;X$1)</f>
        <v>31</v>
      </c>
      <c r="Y93" s="9">
        <f>SUMIFS($E:$E,$B:$B,"="&amp;$H93,$A:$A,"="&amp;Y$1)</f>
        <v>44</v>
      </c>
      <c r="Z93" s="9">
        <f>SUMIFS($E:$E,$B:$B,"="&amp;$H93,$A:$A,"="&amp;Z$1)</f>
        <v>45</v>
      </c>
      <c r="AA93" s="9">
        <f>SUMIFS($E:$E,$B:$B,"="&amp;$H93,$A:$A,"="&amp;AA$1)</f>
        <v>51</v>
      </c>
      <c r="AB93" s="9">
        <f>SUMIFS($E:$E,$B:$B,"="&amp;$H93,$A:$A,"="&amp;AB$1)</f>
        <v>51</v>
      </c>
      <c r="AC93" s="9">
        <f>SUMIFS($E:$E,$B:$B,"="&amp;$H93,$A:$A,"="&amp;AC$1)</f>
        <v>51</v>
      </c>
      <c r="AD93" s="9">
        <f>SUMIFS($E:$E,$B:$B,"="&amp;$H93,$A:$A,"="&amp;AD$1)</f>
        <v>51</v>
      </c>
      <c r="AE93" s="9">
        <f>SUMIFS($E:$E,$B:$B,"="&amp;$H93,$A:$A,"="&amp;AE$1)</f>
        <v>51</v>
      </c>
      <c r="AF93" s="9">
        <f>SUMIFS($E:$E,$B:$B,"="&amp;$H93,$A:$A,"="&amp;AF$1)</f>
        <v>51</v>
      </c>
      <c r="AH93" s="11">
        <f t="shared" si="6"/>
        <v>7</v>
      </c>
      <c r="AI93" s="11">
        <f t="shared" si="7"/>
        <v>16</v>
      </c>
      <c r="AJ93" s="11">
        <f t="shared" si="8"/>
        <v>0</v>
      </c>
    </row>
    <row r="94" spans="1:36" x14ac:dyDescent="0.25">
      <c r="A94" t="s">
        <v>13</v>
      </c>
      <c r="B94" t="s">
        <v>82</v>
      </c>
      <c r="C94">
        <v>4</v>
      </c>
      <c r="D94">
        <v>0</v>
      </c>
      <c r="E94">
        <v>16</v>
      </c>
      <c r="H94" t="s">
        <v>81</v>
      </c>
      <c r="I94" s="9">
        <f>SUMIFS($E:$E,$B:$B,"="&amp;$H94,$A:$A,"="&amp;I$1)</f>
        <v>0</v>
      </c>
      <c r="J94" s="9">
        <f>SUMIFS($E:$E,$B:$B,"="&amp;$H94,$A:$A,"="&amp;J$1)</f>
        <v>0</v>
      </c>
      <c r="K94" s="9">
        <f>SUMIFS($E:$E,$B:$B,"="&amp;$H94,$A:$A,"="&amp;K$1)</f>
        <v>0</v>
      </c>
      <c r="L94" s="9">
        <f>SUMIFS($E:$E,$B:$B,"="&amp;$H94,$A:$A,"="&amp;L$1)</f>
        <v>10</v>
      </c>
      <c r="M94" s="9">
        <f>SUMIFS($E:$E,$B:$B,"="&amp;$H94,$A:$A,"="&amp;M$1)</f>
        <v>10</v>
      </c>
      <c r="N94" s="9">
        <f>SUMIFS($E:$E,$B:$B,"="&amp;$H94,$A:$A,"="&amp;N$1)</f>
        <v>10</v>
      </c>
      <c r="O94" s="9">
        <f>SUMIFS($E:$E,$B:$B,"="&amp;$H94,$A:$A,"="&amp;O$1)</f>
        <v>10</v>
      </c>
      <c r="P94" s="9">
        <f>SUMIFS($E:$E,$B:$B,"="&amp;$H94,$A:$A,"="&amp;P$1)</f>
        <v>10</v>
      </c>
      <c r="Q94" s="9">
        <f>SUMIFS($E:$E,$B:$B,"="&amp;$H94,$A:$A,"="&amp;Q$1)</f>
        <v>10</v>
      </c>
      <c r="R94" s="9">
        <f>SUMIFS($E:$E,$B:$B,"="&amp;$H94,$A:$A,"="&amp;R$1)</f>
        <v>10</v>
      </c>
      <c r="S94" s="9">
        <f>SUMIFS($E:$E,$B:$B,"="&amp;$H94,$A:$A,"="&amp;S$1)</f>
        <v>10</v>
      </c>
      <c r="T94" s="9">
        <f>SUMIFS($E:$E,$B:$B,"="&amp;$H94,$A:$A,"="&amp;T$1)</f>
        <v>10</v>
      </c>
      <c r="U94" s="9">
        <f>SUMIFS($E:$E,$B:$B,"="&amp;$H94,$A:$A,"="&amp;U$1)</f>
        <v>10</v>
      </c>
      <c r="V94" s="9">
        <f>SUMIFS($E:$E,$B:$B,"="&amp;$H94,$A:$A,"="&amp;V$1)</f>
        <v>10</v>
      </c>
      <c r="W94" s="9">
        <f>SUMIFS($E:$E,$B:$B,"="&amp;$H94,$A:$A,"="&amp;W$1)</f>
        <v>10</v>
      </c>
      <c r="X94" s="9">
        <f>SUMIFS($E:$E,$B:$B,"="&amp;$H94,$A:$A,"="&amp;X$1)</f>
        <v>10</v>
      </c>
      <c r="Y94" s="9">
        <f>SUMIFS($E:$E,$B:$B,"="&amp;$H94,$A:$A,"="&amp;Y$1)</f>
        <v>14</v>
      </c>
      <c r="Z94" s="9">
        <f>SUMIFS($E:$E,$B:$B,"="&amp;$H94,$A:$A,"="&amp;Z$1)</f>
        <v>14</v>
      </c>
      <c r="AA94" s="9">
        <f>SUMIFS($E:$E,$B:$B,"="&amp;$H94,$A:$A,"="&amp;AA$1)</f>
        <v>14</v>
      </c>
      <c r="AB94" s="9">
        <f>SUMIFS($E:$E,$B:$B,"="&amp;$H94,$A:$A,"="&amp;AB$1)</f>
        <v>14</v>
      </c>
      <c r="AC94" s="9">
        <f>SUMIFS($E:$E,$B:$B,"="&amp;$H94,$A:$A,"="&amp;AC$1)</f>
        <v>14</v>
      </c>
      <c r="AD94" s="9">
        <f>SUMIFS($E:$E,$B:$B,"="&amp;$H94,$A:$A,"="&amp;AD$1)</f>
        <v>14</v>
      </c>
      <c r="AE94" s="9">
        <f>SUMIFS($E:$E,$B:$B,"="&amp;$H94,$A:$A,"="&amp;AE$1)</f>
        <v>14</v>
      </c>
      <c r="AF94" s="9">
        <f>SUMIFS($E:$E,$B:$B,"="&amp;$H94,$A:$A,"="&amp;AF$1)</f>
        <v>14</v>
      </c>
      <c r="AH94" s="11">
        <f t="shared" si="6"/>
        <v>2</v>
      </c>
      <c r="AI94" s="11">
        <f t="shared" si="7"/>
        <v>21</v>
      </c>
      <c r="AJ94" s="11">
        <f t="shared" si="8"/>
        <v>0</v>
      </c>
    </row>
    <row r="95" spans="1:36" x14ac:dyDescent="0.25">
      <c r="A95" t="s">
        <v>14</v>
      </c>
      <c r="B95" t="s">
        <v>64</v>
      </c>
      <c r="C95">
        <v>216</v>
      </c>
      <c r="D95">
        <v>20</v>
      </c>
      <c r="E95">
        <v>168</v>
      </c>
      <c r="H95" t="s">
        <v>82</v>
      </c>
      <c r="I95" s="9">
        <f>SUMIFS($E:$E,$B:$B,"="&amp;$H95,$A:$A,"="&amp;I$1)</f>
        <v>0</v>
      </c>
      <c r="J95" s="9">
        <f>SUMIFS($E:$E,$B:$B,"="&amp;$H95,$A:$A,"="&amp;J$1)</f>
        <v>0</v>
      </c>
      <c r="K95" s="9">
        <f>SUMIFS($E:$E,$B:$B,"="&amp;$H95,$A:$A,"="&amp;K$1)</f>
        <v>0</v>
      </c>
      <c r="L95" s="9">
        <f>SUMIFS($E:$E,$B:$B,"="&amp;$H95,$A:$A,"="&amp;L$1)</f>
        <v>16</v>
      </c>
      <c r="M95" s="9">
        <f>SUMIFS($E:$E,$B:$B,"="&amp;$H95,$A:$A,"="&amp;M$1)</f>
        <v>16</v>
      </c>
      <c r="N95" s="9">
        <f>SUMIFS($E:$E,$B:$B,"="&amp;$H95,$A:$A,"="&amp;N$1)</f>
        <v>16</v>
      </c>
      <c r="O95" s="9">
        <f>SUMIFS($E:$E,$B:$B,"="&amp;$H95,$A:$A,"="&amp;O$1)</f>
        <v>16</v>
      </c>
      <c r="P95" s="9">
        <f>SUMIFS($E:$E,$B:$B,"="&amp;$H95,$A:$A,"="&amp;P$1)</f>
        <v>16</v>
      </c>
      <c r="Q95" s="9">
        <f>SUMIFS($E:$E,$B:$B,"="&amp;$H95,$A:$A,"="&amp;Q$1)</f>
        <v>16</v>
      </c>
      <c r="R95" s="9">
        <f>SUMIFS($E:$E,$B:$B,"="&amp;$H95,$A:$A,"="&amp;R$1)</f>
        <v>16</v>
      </c>
      <c r="S95" s="9">
        <f>SUMIFS($E:$E,$B:$B,"="&amp;$H95,$A:$A,"="&amp;S$1)</f>
        <v>22</v>
      </c>
      <c r="T95" s="9">
        <f>SUMIFS($E:$E,$B:$B,"="&amp;$H95,$A:$A,"="&amp;T$1)</f>
        <v>22</v>
      </c>
      <c r="U95" s="9">
        <f>SUMIFS($E:$E,$B:$B,"="&amp;$H95,$A:$A,"="&amp;U$1)</f>
        <v>22</v>
      </c>
      <c r="V95" s="9">
        <f>SUMIFS($E:$E,$B:$B,"="&amp;$H95,$A:$A,"="&amp;V$1)</f>
        <v>24</v>
      </c>
      <c r="W95" s="9">
        <f>SUMIFS($E:$E,$B:$B,"="&amp;$H95,$A:$A,"="&amp;W$1)</f>
        <v>24</v>
      </c>
      <c r="X95" s="9">
        <f>SUMIFS($E:$E,$B:$B,"="&amp;$H95,$A:$A,"="&amp;X$1)</f>
        <v>24</v>
      </c>
      <c r="Y95" s="9">
        <f>SUMIFS($E:$E,$B:$B,"="&amp;$H95,$A:$A,"="&amp;Y$1)</f>
        <v>29</v>
      </c>
      <c r="Z95" s="9">
        <f>SUMIFS($E:$E,$B:$B,"="&amp;$H95,$A:$A,"="&amp;Z$1)</f>
        <v>29</v>
      </c>
      <c r="AA95" s="9">
        <f>SUMIFS($E:$E,$B:$B,"="&amp;$H95,$A:$A,"="&amp;AA$1)</f>
        <v>69</v>
      </c>
      <c r="AB95" s="9">
        <f>SUMIFS($E:$E,$B:$B,"="&amp;$H95,$A:$A,"="&amp;AB$1)</f>
        <v>78</v>
      </c>
      <c r="AC95" s="9">
        <f>SUMIFS($E:$E,$B:$B,"="&amp;$H95,$A:$A,"="&amp;AC$1)</f>
        <v>78</v>
      </c>
      <c r="AD95" s="9">
        <f>SUMIFS($E:$E,$B:$B,"="&amp;$H95,$A:$A,"="&amp;AD$1)</f>
        <v>78</v>
      </c>
      <c r="AE95" s="9">
        <f>SUMIFS($E:$E,$B:$B,"="&amp;$H95,$A:$A,"="&amp;AE$1)</f>
        <v>78</v>
      </c>
      <c r="AF95" s="9">
        <f>SUMIFS($E:$E,$B:$B,"="&amp;$H95,$A:$A,"="&amp;AF$1)</f>
        <v>123</v>
      </c>
      <c r="AH95" s="11">
        <f t="shared" si="6"/>
        <v>7</v>
      </c>
      <c r="AI95" s="11">
        <f t="shared" si="7"/>
        <v>16</v>
      </c>
      <c r="AJ95" s="11">
        <f t="shared" si="8"/>
        <v>0</v>
      </c>
    </row>
    <row r="96" spans="1:36" x14ac:dyDescent="0.25">
      <c r="A96" t="s">
        <v>14</v>
      </c>
      <c r="B96" t="s">
        <v>83</v>
      </c>
      <c r="C96">
        <v>3</v>
      </c>
      <c r="D96">
        <v>9</v>
      </c>
      <c r="E96">
        <v>40</v>
      </c>
      <c r="H96" t="s">
        <v>76</v>
      </c>
      <c r="I96" s="9">
        <f>SUMIFS($E:$E,$B:$B,"="&amp;$H96,$A:$A,"="&amp;I$1)</f>
        <v>0</v>
      </c>
      <c r="J96" s="9">
        <f>SUMIFS($E:$E,$B:$B,"="&amp;$H96,$A:$A,"="&amp;J$1)</f>
        <v>0</v>
      </c>
      <c r="K96" s="9">
        <f>SUMIFS($E:$E,$B:$B,"="&amp;$H96,$A:$A,"="&amp;K$1)</f>
        <v>10</v>
      </c>
      <c r="L96" s="9">
        <f>SUMIFS($E:$E,$B:$B,"="&amp;$H96,$A:$A,"="&amp;L$1)</f>
        <v>18</v>
      </c>
      <c r="M96" s="9">
        <f>SUMIFS($E:$E,$B:$B,"="&amp;$H96,$A:$A,"="&amp;M$1)</f>
        <v>18</v>
      </c>
      <c r="N96" s="9">
        <f>SUMIFS($E:$E,$B:$B,"="&amp;$H96,$A:$A,"="&amp;N$1)</f>
        <v>18</v>
      </c>
      <c r="O96" s="9">
        <f>SUMIFS($E:$E,$B:$B,"="&amp;$H96,$A:$A,"="&amp;O$1)</f>
        <v>18</v>
      </c>
      <c r="P96" s="9">
        <f>SUMIFS($E:$E,$B:$B,"="&amp;$H96,$A:$A,"="&amp;P$1)</f>
        <v>18</v>
      </c>
      <c r="Q96" s="9">
        <f>SUMIFS($E:$E,$B:$B,"="&amp;$H96,$A:$A,"="&amp;Q$1)</f>
        <v>18</v>
      </c>
      <c r="R96" s="9">
        <f>SUMIFS($E:$E,$B:$B,"="&amp;$H96,$A:$A,"="&amp;R$1)</f>
        <v>18</v>
      </c>
      <c r="S96" s="9">
        <f>SUMIFS($E:$E,$B:$B,"="&amp;$H96,$A:$A,"="&amp;S$1)</f>
        <v>18</v>
      </c>
      <c r="T96" s="9">
        <f>SUMIFS($E:$E,$B:$B,"="&amp;$H96,$A:$A,"="&amp;T$1)</f>
        <v>18</v>
      </c>
      <c r="U96" s="9">
        <f>SUMIFS($E:$E,$B:$B,"="&amp;$H96,$A:$A,"="&amp;U$1)</f>
        <v>18</v>
      </c>
      <c r="V96" s="9">
        <f>SUMIFS($E:$E,$B:$B,"="&amp;$H96,$A:$A,"="&amp;V$1)</f>
        <v>18</v>
      </c>
      <c r="W96" s="9">
        <f>SUMIFS($E:$E,$B:$B,"="&amp;$H96,$A:$A,"="&amp;W$1)</f>
        <v>18</v>
      </c>
      <c r="X96" s="9">
        <f>SUMIFS($E:$E,$B:$B,"="&amp;$H96,$A:$A,"="&amp;X$1)</f>
        <v>18</v>
      </c>
      <c r="Y96" s="9">
        <f>SUMIFS($E:$E,$B:$B,"="&amp;$H96,$A:$A,"="&amp;Y$1)</f>
        <v>21</v>
      </c>
      <c r="Z96" s="9">
        <f>SUMIFS($E:$E,$B:$B,"="&amp;$H96,$A:$A,"="&amp;Z$1)</f>
        <v>21</v>
      </c>
      <c r="AA96" s="9">
        <f>SUMIFS($E:$E,$B:$B,"="&amp;$H96,$A:$A,"="&amp;AA$1)</f>
        <v>20</v>
      </c>
      <c r="AB96" s="9">
        <f>SUMIFS($E:$E,$B:$B,"="&amp;$H96,$A:$A,"="&amp;AB$1)</f>
        <v>20</v>
      </c>
      <c r="AC96" s="9">
        <f>SUMIFS($E:$E,$B:$B,"="&amp;$H96,$A:$A,"="&amp;AC$1)</f>
        <v>21</v>
      </c>
      <c r="AD96" s="9">
        <f>SUMIFS($E:$E,$B:$B,"="&amp;$H96,$A:$A,"="&amp;AD$1)</f>
        <v>21</v>
      </c>
      <c r="AE96" s="9">
        <f>SUMIFS($E:$E,$B:$B,"="&amp;$H96,$A:$A,"="&amp;AE$1)</f>
        <v>21</v>
      </c>
      <c r="AF96" s="9">
        <f>SUMIFS($E:$E,$B:$B,"="&amp;$H96,$A:$A,"="&amp;AF$1)</f>
        <v>21</v>
      </c>
      <c r="AH96" s="11">
        <f t="shared" si="6"/>
        <v>4</v>
      </c>
      <c r="AI96" s="11">
        <f t="shared" si="7"/>
        <v>18</v>
      </c>
      <c r="AJ96" s="11">
        <f t="shared" si="8"/>
        <v>1</v>
      </c>
    </row>
    <row r="97" spans="1:36" x14ac:dyDescent="0.25">
      <c r="A97" t="s">
        <v>14</v>
      </c>
      <c r="B97" t="s">
        <v>84</v>
      </c>
      <c r="C97">
        <v>4</v>
      </c>
      <c r="D97">
        <v>12</v>
      </c>
      <c r="E97">
        <v>0</v>
      </c>
      <c r="H97" t="s">
        <v>77</v>
      </c>
      <c r="I97" s="9">
        <f>SUMIFS($E:$E,$B:$B,"="&amp;$H97,$A:$A,"="&amp;I$1)</f>
        <v>0</v>
      </c>
      <c r="J97" s="9">
        <f>SUMIFS($E:$E,$B:$B,"="&amp;$H97,$A:$A,"="&amp;J$1)</f>
        <v>0</v>
      </c>
      <c r="K97" s="9">
        <f>SUMIFS($E:$E,$B:$B,"="&amp;$H97,$A:$A,"="&amp;K$1)</f>
        <v>6</v>
      </c>
      <c r="L97" s="9">
        <f>SUMIFS($E:$E,$B:$B,"="&amp;$H97,$A:$A,"="&amp;L$1)</f>
        <v>6</v>
      </c>
      <c r="M97" s="9">
        <f>SUMIFS($E:$E,$B:$B,"="&amp;$H97,$A:$A,"="&amp;M$1)</f>
        <v>7</v>
      </c>
      <c r="N97" s="9">
        <f>SUMIFS($E:$E,$B:$B,"="&amp;$H97,$A:$A,"="&amp;N$1)</f>
        <v>12</v>
      </c>
      <c r="O97" s="9">
        <f>SUMIFS($E:$E,$B:$B,"="&amp;$H97,$A:$A,"="&amp;O$1)</f>
        <v>12</v>
      </c>
      <c r="P97" s="9">
        <f>SUMIFS($E:$E,$B:$B,"="&amp;$H97,$A:$A,"="&amp;P$1)</f>
        <v>14</v>
      </c>
      <c r="Q97" s="9">
        <f>SUMIFS($E:$E,$B:$B,"="&amp;$H97,$A:$A,"="&amp;Q$1)</f>
        <v>14</v>
      </c>
      <c r="R97" s="9">
        <f>SUMIFS($E:$E,$B:$B,"="&amp;$H97,$A:$A,"="&amp;R$1)</f>
        <v>14</v>
      </c>
      <c r="S97" s="9">
        <f>SUMIFS($E:$E,$B:$B,"="&amp;$H97,$A:$A,"="&amp;S$1)</f>
        <v>26</v>
      </c>
      <c r="T97" s="9">
        <f>SUMIFS($E:$E,$B:$B,"="&amp;$H97,$A:$A,"="&amp;T$1)</f>
        <v>26</v>
      </c>
      <c r="U97" s="9">
        <f>SUMIFS($E:$E,$B:$B,"="&amp;$H97,$A:$A,"="&amp;U$1)</f>
        <v>37</v>
      </c>
      <c r="V97" s="9">
        <f>SUMIFS($E:$E,$B:$B,"="&amp;$H97,$A:$A,"="&amp;V$1)</f>
        <v>40</v>
      </c>
      <c r="W97" s="9">
        <f>SUMIFS($E:$E,$B:$B,"="&amp;$H97,$A:$A,"="&amp;W$1)</f>
        <v>40</v>
      </c>
      <c r="X97" s="9">
        <f>SUMIFS($E:$E,$B:$B,"="&amp;$H97,$A:$A,"="&amp;X$1)</f>
        <v>40</v>
      </c>
      <c r="Y97" s="9">
        <f>SUMIFS($E:$E,$B:$B,"="&amp;$H97,$A:$A,"="&amp;Y$1)</f>
        <v>70</v>
      </c>
      <c r="Z97" s="9">
        <f>SUMIFS($E:$E,$B:$B,"="&amp;$H97,$A:$A,"="&amp;Z$1)</f>
        <v>72</v>
      </c>
      <c r="AA97" s="9">
        <f>SUMIFS($E:$E,$B:$B,"="&amp;$H97,$A:$A,"="&amp;AA$1)</f>
        <v>95</v>
      </c>
      <c r="AB97" s="9">
        <f>SUMIFS($E:$E,$B:$B,"="&amp;$H97,$A:$A,"="&amp;AB$1)</f>
        <v>95</v>
      </c>
      <c r="AC97" s="9">
        <f>SUMIFS($E:$E,$B:$B,"="&amp;$H97,$A:$A,"="&amp;AC$1)</f>
        <v>98</v>
      </c>
      <c r="AD97" s="9">
        <f>SUMIFS($E:$E,$B:$B,"="&amp;$H97,$A:$A,"="&amp;AD$1)</f>
        <v>100</v>
      </c>
      <c r="AE97" s="9">
        <f>SUMIFS($E:$E,$B:$B,"="&amp;$H97,$A:$A,"="&amp;AE$1)</f>
        <v>100</v>
      </c>
      <c r="AF97" s="9">
        <f>SUMIFS($E:$E,$B:$B,"="&amp;$H97,$A:$A,"="&amp;AF$1)</f>
        <v>103</v>
      </c>
      <c r="AH97" s="11">
        <f t="shared" si="6"/>
        <v>13</v>
      </c>
      <c r="AI97" s="11">
        <f t="shared" si="7"/>
        <v>10</v>
      </c>
      <c r="AJ97" s="11">
        <f t="shared" si="8"/>
        <v>0</v>
      </c>
    </row>
    <row r="98" spans="1:36" x14ac:dyDescent="0.25">
      <c r="A98" t="s">
        <v>14</v>
      </c>
      <c r="B98" t="s">
        <v>85</v>
      </c>
      <c r="C98">
        <v>1</v>
      </c>
      <c r="D98">
        <v>13</v>
      </c>
      <c r="E98">
        <v>28</v>
      </c>
      <c r="H98" t="s">
        <v>78</v>
      </c>
      <c r="I98" s="9">
        <f>SUMIFS($E:$E,$B:$B,"="&amp;$H98,$A:$A,"="&amp;I$1)</f>
        <v>0</v>
      </c>
      <c r="J98" s="9">
        <f>SUMIFS($E:$E,$B:$B,"="&amp;$H98,$A:$A,"="&amp;J$1)</f>
        <v>0</v>
      </c>
      <c r="K98" s="9">
        <f>SUMIFS($E:$E,$B:$B,"="&amp;$H98,$A:$A,"="&amp;K$1)</f>
        <v>3</v>
      </c>
      <c r="L98" s="9">
        <f>SUMIFS($E:$E,$B:$B,"="&amp;$H98,$A:$A,"="&amp;L$1)</f>
        <v>3</v>
      </c>
      <c r="M98" s="9">
        <f>SUMIFS($E:$E,$B:$B,"="&amp;$H98,$A:$A,"="&amp;M$1)</f>
        <v>3</v>
      </c>
      <c r="N98" s="9">
        <f>SUMIFS($E:$E,$B:$B,"="&amp;$H98,$A:$A,"="&amp;N$1)</f>
        <v>5</v>
      </c>
      <c r="O98" s="9">
        <f>SUMIFS($E:$E,$B:$B,"="&amp;$H98,$A:$A,"="&amp;O$1)</f>
        <v>5</v>
      </c>
      <c r="P98" s="9">
        <f>SUMIFS($E:$E,$B:$B,"="&amp;$H98,$A:$A,"="&amp;P$1)</f>
        <v>5</v>
      </c>
      <c r="Q98" s="9">
        <f>SUMIFS($E:$E,$B:$B,"="&amp;$H98,$A:$A,"="&amp;Q$1)</f>
        <v>5</v>
      </c>
      <c r="R98" s="9">
        <f>SUMIFS($E:$E,$B:$B,"="&amp;$H98,$A:$A,"="&amp;R$1)</f>
        <v>5</v>
      </c>
      <c r="S98" s="9">
        <f>SUMIFS($E:$E,$B:$B,"="&amp;$H98,$A:$A,"="&amp;S$1)</f>
        <v>5</v>
      </c>
      <c r="T98" s="9">
        <f>SUMIFS($E:$E,$B:$B,"="&amp;$H98,$A:$A,"="&amp;T$1)</f>
        <v>5</v>
      </c>
      <c r="U98" s="9">
        <f>SUMIFS($E:$E,$B:$B,"="&amp;$H98,$A:$A,"="&amp;U$1)</f>
        <v>5</v>
      </c>
      <c r="V98" s="9">
        <f>SUMIFS($E:$E,$B:$B,"="&amp;$H98,$A:$A,"="&amp;V$1)</f>
        <v>5</v>
      </c>
      <c r="W98" s="9">
        <f>SUMIFS($E:$E,$B:$B,"="&amp;$H98,$A:$A,"="&amp;W$1)</f>
        <v>5</v>
      </c>
      <c r="X98" s="9">
        <f>SUMIFS($E:$E,$B:$B,"="&amp;$H98,$A:$A,"="&amp;X$1)</f>
        <v>5</v>
      </c>
      <c r="Y98" s="9">
        <f>SUMIFS($E:$E,$B:$B,"="&amp;$H98,$A:$A,"="&amp;Y$1)</f>
        <v>5</v>
      </c>
      <c r="Z98" s="9">
        <f>SUMIFS($E:$E,$B:$B,"="&amp;$H98,$A:$A,"="&amp;Z$1)</f>
        <v>4</v>
      </c>
      <c r="AA98" s="9">
        <f>SUMIFS($E:$E,$B:$B,"="&amp;$H98,$A:$A,"="&amp;AA$1)</f>
        <v>11</v>
      </c>
      <c r="AB98" s="9">
        <f>SUMIFS($E:$E,$B:$B,"="&amp;$H98,$A:$A,"="&amp;AB$1)</f>
        <v>11</v>
      </c>
      <c r="AC98" s="9">
        <f>SUMIFS($E:$E,$B:$B,"="&amp;$H98,$A:$A,"="&amp;AC$1)</f>
        <v>11</v>
      </c>
      <c r="AD98" s="9">
        <f>SUMIFS($E:$E,$B:$B,"="&amp;$H98,$A:$A,"="&amp;AD$1)</f>
        <v>11</v>
      </c>
      <c r="AE98" s="9">
        <f>SUMIFS($E:$E,$B:$B,"="&amp;$H98,$A:$A,"="&amp;AE$1)</f>
        <v>11</v>
      </c>
      <c r="AF98" s="9">
        <f>SUMIFS($E:$E,$B:$B,"="&amp;$H98,$A:$A,"="&amp;AF$1)</f>
        <v>11</v>
      </c>
      <c r="AH98" s="11">
        <f t="shared" si="6"/>
        <v>3</v>
      </c>
      <c r="AI98" s="11">
        <f t="shared" si="7"/>
        <v>19</v>
      </c>
      <c r="AJ98" s="11">
        <f t="shared" si="8"/>
        <v>1</v>
      </c>
    </row>
    <row r="99" spans="1:36" x14ac:dyDescent="0.25">
      <c r="A99" t="s">
        <v>14</v>
      </c>
      <c r="B99" t="s">
        <v>86</v>
      </c>
      <c r="C99">
        <v>4</v>
      </c>
      <c r="D99">
        <v>1</v>
      </c>
      <c r="E99">
        <v>7</v>
      </c>
      <c r="H99" t="s">
        <v>74</v>
      </c>
      <c r="I99" s="9">
        <f>SUMIFS($E:$E,$B:$B,"="&amp;$H99,$A:$A,"="&amp;I$1)</f>
        <v>0</v>
      </c>
      <c r="J99" s="9">
        <f>SUMIFS($E:$E,$B:$B,"="&amp;$H99,$A:$A,"="&amp;J$1)</f>
        <v>29</v>
      </c>
      <c r="K99" s="9">
        <f>SUMIFS($E:$E,$B:$B,"="&amp;$H99,$A:$A,"="&amp;K$1)</f>
        <v>41</v>
      </c>
      <c r="L99" s="9">
        <f>SUMIFS($E:$E,$B:$B,"="&amp;$H99,$A:$A,"="&amp;L$1)</f>
        <v>50</v>
      </c>
      <c r="M99" s="9">
        <f>SUMIFS($E:$E,$B:$B,"="&amp;$H99,$A:$A,"="&amp;M$1)</f>
        <v>50</v>
      </c>
      <c r="N99" s="9">
        <f>SUMIFS($E:$E,$B:$B,"="&amp;$H99,$A:$A,"="&amp;N$1)</f>
        <v>75</v>
      </c>
      <c r="O99" s="9">
        <f>SUMIFS($E:$E,$B:$B,"="&amp;$H99,$A:$A,"="&amp;O$1)</f>
        <v>75</v>
      </c>
      <c r="P99" s="9">
        <f>SUMIFS($E:$E,$B:$B,"="&amp;$H99,$A:$A,"="&amp;P$1)</f>
        <v>77</v>
      </c>
      <c r="Q99" s="9">
        <f>SUMIFS($E:$E,$B:$B,"="&amp;$H99,$A:$A,"="&amp;Q$1)</f>
        <v>77</v>
      </c>
      <c r="R99" s="9">
        <f>SUMIFS($E:$E,$B:$B,"="&amp;$H99,$A:$A,"="&amp;R$1)</f>
        <v>77</v>
      </c>
      <c r="S99" s="9">
        <f>SUMIFS($E:$E,$B:$B,"="&amp;$H99,$A:$A,"="&amp;S$1)</f>
        <v>126</v>
      </c>
      <c r="T99" s="9">
        <f>SUMIFS($E:$E,$B:$B,"="&amp;$H99,$A:$A,"="&amp;T$1)</f>
        <v>126</v>
      </c>
      <c r="U99" s="9">
        <f>SUMIFS($E:$E,$B:$B,"="&amp;$H99,$A:$A,"="&amp;U$1)</f>
        <v>126</v>
      </c>
      <c r="V99" s="9">
        <f>SUMIFS($E:$E,$B:$B,"="&amp;$H99,$A:$A,"="&amp;V$1)</f>
        <v>126</v>
      </c>
      <c r="W99" s="9">
        <f>SUMIFS($E:$E,$B:$B,"="&amp;$H99,$A:$A,"="&amp;W$1)</f>
        <v>126</v>
      </c>
      <c r="X99" s="9">
        <f>SUMIFS($E:$E,$B:$B,"="&amp;$H99,$A:$A,"="&amp;X$1)</f>
        <v>126</v>
      </c>
      <c r="Y99" s="9">
        <f>SUMIFS($E:$E,$B:$B,"="&amp;$H99,$A:$A,"="&amp;Y$1)</f>
        <v>185</v>
      </c>
      <c r="Z99" s="9">
        <f>SUMIFS($E:$E,$B:$B,"="&amp;$H99,$A:$A,"="&amp;Z$1)</f>
        <v>190</v>
      </c>
      <c r="AA99" s="9">
        <f>SUMIFS($E:$E,$B:$B,"="&amp;$H99,$A:$A,"="&amp;AA$1)</f>
        <v>191</v>
      </c>
      <c r="AB99" s="9">
        <f>SUMIFS($E:$E,$B:$B,"="&amp;$H99,$A:$A,"="&amp;AB$1)</f>
        <v>191</v>
      </c>
      <c r="AC99" s="9">
        <f>SUMIFS($E:$E,$B:$B,"="&amp;$H99,$A:$A,"="&amp;AC$1)</f>
        <v>191</v>
      </c>
      <c r="AD99" s="9">
        <f>SUMIFS($E:$E,$B:$B,"="&amp;$H99,$A:$A,"="&amp;AD$1)</f>
        <v>192</v>
      </c>
      <c r="AE99" s="9">
        <f>SUMIFS($E:$E,$B:$B,"="&amp;$H99,$A:$A,"="&amp;AE$1)</f>
        <v>192</v>
      </c>
      <c r="AF99" s="9">
        <f>SUMIFS($E:$E,$B:$B,"="&amp;$H99,$A:$A,"="&amp;AF$1)</f>
        <v>199</v>
      </c>
      <c r="AH99" s="11">
        <f t="shared" si="6"/>
        <v>11</v>
      </c>
      <c r="AI99" s="11">
        <f t="shared" si="7"/>
        <v>12</v>
      </c>
      <c r="AJ99" s="11">
        <f t="shared" si="8"/>
        <v>0</v>
      </c>
    </row>
    <row r="100" spans="1:36" x14ac:dyDescent="0.25">
      <c r="A100" t="s">
        <v>14</v>
      </c>
      <c r="B100" t="s">
        <v>79</v>
      </c>
      <c r="C100">
        <v>0</v>
      </c>
      <c r="D100">
        <v>6</v>
      </c>
      <c r="E100">
        <v>0</v>
      </c>
      <c r="H100" t="s">
        <v>75</v>
      </c>
      <c r="I100" s="9">
        <f>SUMIFS($E:$E,$B:$B,"="&amp;$H100,$A:$A,"="&amp;I$1)</f>
        <v>0</v>
      </c>
      <c r="J100" s="9">
        <f>SUMIFS($E:$E,$B:$B,"="&amp;$H100,$A:$A,"="&amp;J$1)</f>
        <v>2</v>
      </c>
      <c r="K100" s="9">
        <f>SUMIFS($E:$E,$B:$B,"="&amp;$H100,$A:$A,"="&amp;K$1)</f>
        <v>2</v>
      </c>
      <c r="L100" s="9">
        <f>SUMIFS($E:$E,$B:$B,"="&amp;$H100,$A:$A,"="&amp;L$1)</f>
        <v>2</v>
      </c>
      <c r="M100" s="9">
        <f>SUMIFS($E:$E,$B:$B,"="&amp;$H100,$A:$A,"="&amp;M$1)</f>
        <v>2</v>
      </c>
      <c r="N100" s="9">
        <f>SUMIFS($E:$E,$B:$B,"="&amp;$H100,$A:$A,"="&amp;N$1)</f>
        <v>3</v>
      </c>
      <c r="O100" s="9">
        <f>SUMIFS($E:$E,$B:$B,"="&amp;$H100,$A:$A,"="&amp;O$1)</f>
        <v>3</v>
      </c>
      <c r="P100" s="9">
        <f>SUMIFS($E:$E,$B:$B,"="&amp;$H100,$A:$A,"="&amp;P$1)</f>
        <v>3</v>
      </c>
      <c r="Q100" s="9">
        <f>SUMIFS($E:$E,$B:$B,"="&amp;$H100,$A:$A,"="&amp;Q$1)</f>
        <v>3</v>
      </c>
      <c r="R100" s="9">
        <f>SUMIFS($E:$E,$B:$B,"="&amp;$H100,$A:$A,"="&amp;R$1)</f>
        <v>3</v>
      </c>
      <c r="S100" s="9">
        <f>SUMIFS($E:$E,$B:$B,"="&amp;$H100,$A:$A,"="&amp;S$1)</f>
        <v>3</v>
      </c>
      <c r="T100" s="9">
        <f>SUMIFS($E:$E,$B:$B,"="&amp;$H100,$A:$A,"="&amp;T$1)</f>
        <v>3</v>
      </c>
      <c r="U100" s="9">
        <f>SUMIFS($E:$E,$B:$B,"="&amp;$H100,$A:$A,"="&amp;U$1)</f>
        <v>3</v>
      </c>
      <c r="V100" s="9">
        <f>SUMIFS($E:$E,$B:$B,"="&amp;$H100,$A:$A,"="&amp;V$1)</f>
        <v>3</v>
      </c>
      <c r="W100" s="9">
        <f>SUMIFS($E:$E,$B:$B,"="&amp;$H100,$A:$A,"="&amp;W$1)</f>
        <v>3</v>
      </c>
      <c r="X100" s="9">
        <f>SUMIFS($E:$E,$B:$B,"="&amp;$H100,$A:$A,"="&amp;X$1)</f>
        <v>3</v>
      </c>
      <c r="Y100" s="9">
        <f>SUMIFS($E:$E,$B:$B,"="&amp;$H100,$A:$A,"="&amp;Y$1)</f>
        <v>3</v>
      </c>
      <c r="Z100" s="9">
        <f>SUMIFS($E:$E,$B:$B,"="&amp;$H100,$A:$A,"="&amp;Z$1)</f>
        <v>3</v>
      </c>
      <c r="AA100" s="9">
        <f>SUMIFS($E:$E,$B:$B,"="&amp;$H100,$A:$A,"="&amp;AA$1)</f>
        <v>3</v>
      </c>
      <c r="AB100" s="9">
        <f>SUMIFS($E:$E,$B:$B,"="&amp;$H100,$A:$A,"="&amp;AB$1)</f>
        <v>3</v>
      </c>
      <c r="AC100" s="9">
        <f>SUMIFS($E:$E,$B:$B,"="&amp;$H100,$A:$A,"="&amp;AC$1)</f>
        <v>3</v>
      </c>
      <c r="AD100" s="9">
        <f>SUMIFS($E:$E,$B:$B,"="&amp;$H100,$A:$A,"="&amp;AD$1)</f>
        <v>3</v>
      </c>
      <c r="AE100" s="9">
        <f>SUMIFS($E:$E,$B:$B,"="&amp;$H100,$A:$A,"="&amp;AE$1)</f>
        <v>3</v>
      </c>
      <c r="AF100" s="9">
        <f>SUMIFS($E:$E,$B:$B,"="&amp;$H100,$A:$A,"="&amp;AF$1)</f>
        <v>3</v>
      </c>
      <c r="AH100" s="11">
        <f t="shared" si="6"/>
        <v>2</v>
      </c>
      <c r="AI100" s="11">
        <f t="shared" si="7"/>
        <v>21</v>
      </c>
      <c r="AJ100" s="11">
        <f t="shared" si="8"/>
        <v>0</v>
      </c>
    </row>
    <row r="101" spans="1:36" x14ac:dyDescent="0.25">
      <c r="A101" t="s">
        <v>14</v>
      </c>
      <c r="B101" t="s">
        <v>63</v>
      </c>
      <c r="C101">
        <v>21</v>
      </c>
      <c r="D101">
        <v>95</v>
      </c>
      <c r="E101">
        <v>242</v>
      </c>
      <c r="H101" t="s">
        <v>63</v>
      </c>
      <c r="I101" s="9">
        <f>SUMIFS($E:$E,$B:$B,"="&amp;$H101,$A:$A,"="&amp;I$1)</f>
        <v>47</v>
      </c>
      <c r="J101" s="9">
        <f>SUMIFS($E:$E,$B:$B,"="&amp;$H101,$A:$A,"="&amp;J$1)</f>
        <v>125</v>
      </c>
      <c r="K101" s="9">
        <f>SUMIFS($E:$E,$B:$B,"="&amp;$H101,$A:$A,"="&amp;K$1)</f>
        <v>145</v>
      </c>
      <c r="L101" s="9">
        <f>SUMIFS($E:$E,$B:$B,"="&amp;$H101,$A:$A,"="&amp;L$1)</f>
        <v>189</v>
      </c>
      <c r="M101" s="9">
        <f>SUMIFS($E:$E,$B:$B,"="&amp;$H101,$A:$A,"="&amp;M$1)</f>
        <v>189</v>
      </c>
      <c r="N101" s="9">
        <f>SUMIFS($E:$E,$B:$B,"="&amp;$H101,$A:$A,"="&amp;N$1)</f>
        <v>236</v>
      </c>
      <c r="O101" s="9">
        <f>SUMIFS($E:$E,$B:$B,"="&amp;$H101,$A:$A,"="&amp;O$1)</f>
        <v>236</v>
      </c>
      <c r="P101" s="9">
        <f>SUMIFS($E:$E,$B:$B,"="&amp;$H101,$A:$A,"="&amp;P$1)</f>
        <v>242</v>
      </c>
      <c r="Q101" s="9">
        <f>SUMIFS($E:$E,$B:$B,"="&amp;$H101,$A:$A,"="&amp;Q$1)</f>
        <v>245</v>
      </c>
      <c r="R101" s="9">
        <f>SUMIFS($E:$E,$B:$B,"="&amp;$H101,$A:$A,"="&amp;R$1)</f>
        <v>245</v>
      </c>
      <c r="S101" s="9">
        <f>SUMIFS($E:$E,$B:$B,"="&amp;$H101,$A:$A,"="&amp;S$1)</f>
        <v>316</v>
      </c>
      <c r="T101" s="9">
        <f>SUMIFS($E:$E,$B:$B,"="&amp;$H101,$A:$A,"="&amp;T$1)</f>
        <v>319</v>
      </c>
      <c r="U101" s="9">
        <f>SUMIFS($E:$E,$B:$B,"="&amp;$H101,$A:$A,"="&amp;U$1)</f>
        <v>337</v>
      </c>
      <c r="V101" s="9">
        <f>SUMIFS($E:$E,$B:$B,"="&amp;$H101,$A:$A,"="&amp;V$1)</f>
        <v>373</v>
      </c>
      <c r="W101" s="9">
        <f>SUMIFS($E:$E,$B:$B,"="&amp;$H101,$A:$A,"="&amp;W$1)</f>
        <v>373</v>
      </c>
      <c r="X101" s="9">
        <f>SUMIFS($E:$E,$B:$B,"="&amp;$H101,$A:$A,"="&amp;X$1)</f>
        <v>373</v>
      </c>
      <c r="Y101" s="9">
        <f>SUMIFS($E:$E,$B:$B,"="&amp;$H101,$A:$A,"="&amp;Y$1)</f>
        <v>439</v>
      </c>
      <c r="Z101" s="9">
        <f>SUMIFS($E:$E,$B:$B,"="&amp;$H101,$A:$A,"="&amp;Z$1)</f>
        <v>444</v>
      </c>
      <c r="AA101" s="9">
        <f>SUMIFS($E:$E,$B:$B,"="&amp;$H101,$A:$A,"="&amp;AA$1)</f>
        <v>481</v>
      </c>
      <c r="AB101" s="9">
        <f>SUMIFS($E:$E,$B:$B,"="&amp;$H101,$A:$A,"="&amp;AB$1)</f>
        <v>481</v>
      </c>
      <c r="AC101" s="9">
        <f>SUMIFS($E:$E,$B:$B,"="&amp;$H101,$A:$A,"="&amp;AC$1)</f>
        <v>482</v>
      </c>
      <c r="AD101" s="9">
        <f>SUMIFS($E:$E,$B:$B,"="&amp;$H101,$A:$A,"="&amp;AD$1)</f>
        <v>482</v>
      </c>
      <c r="AE101" s="9">
        <f>SUMIFS($E:$E,$B:$B,"="&amp;$H101,$A:$A,"="&amp;AE$1)</f>
        <v>482</v>
      </c>
      <c r="AF101" s="9">
        <f>SUMIFS($E:$E,$B:$B,"="&amp;$H101,$A:$A,"="&amp;AF$1)</f>
        <v>447</v>
      </c>
      <c r="AH101" s="11">
        <f t="shared" si="6"/>
        <v>14</v>
      </c>
      <c r="AI101" s="11">
        <f t="shared" si="7"/>
        <v>8</v>
      </c>
      <c r="AJ101" s="11">
        <f t="shared" si="8"/>
        <v>1</v>
      </c>
    </row>
    <row r="102" spans="1:36" x14ac:dyDescent="0.25">
      <c r="A102" t="s">
        <v>14</v>
      </c>
      <c r="B102" t="s">
        <v>76</v>
      </c>
      <c r="C102">
        <v>1</v>
      </c>
      <c r="D102">
        <v>15</v>
      </c>
      <c r="E102">
        <v>18</v>
      </c>
      <c r="H102" t="s">
        <v>64</v>
      </c>
      <c r="I102" s="9">
        <f>SUMIFS($E:$E,$B:$B,"="&amp;$H102,$A:$A,"="&amp;I$1)</f>
        <v>151</v>
      </c>
      <c r="J102" s="9">
        <f>SUMIFS($E:$E,$B:$B,"="&amp;$H102,$A:$A,"="&amp;J$1)</f>
        <v>186</v>
      </c>
      <c r="K102" s="9">
        <f>SUMIFS($E:$E,$B:$B,"="&amp;$H102,$A:$A,"="&amp;K$1)</f>
        <v>189</v>
      </c>
      <c r="L102" s="9">
        <f>SUMIFS($E:$E,$B:$B,"="&amp;$H102,$A:$A,"="&amp;L$1)</f>
        <v>238</v>
      </c>
      <c r="M102" s="9">
        <f>SUMIFS($E:$E,$B:$B,"="&amp;$H102,$A:$A,"="&amp;M$1)</f>
        <v>238</v>
      </c>
      <c r="N102" s="9">
        <f>SUMIFS($E:$E,$B:$B,"="&amp;$H102,$A:$A,"="&amp;N$1)</f>
        <v>165</v>
      </c>
      <c r="O102" s="9">
        <f>SUMIFS($E:$E,$B:$B,"="&amp;$H102,$A:$A,"="&amp;O$1)</f>
        <v>165</v>
      </c>
      <c r="P102" s="9">
        <f>SUMIFS($E:$E,$B:$B,"="&amp;$H102,$A:$A,"="&amp;P$1)</f>
        <v>168</v>
      </c>
      <c r="Q102" s="9">
        <f>SUMIFS($E:$E,$B:$B,"="&amp;$H102,$A:$A,"="&amp;Q$1)</f>
        <v>168</v>
      </c>
      <c r="R102" s="9">
        <f>SUMIFS($E:$E,$B:$B,"="&amp;$H102,$A:$A,"="&amp;R$1)</f>
        <v>168</v>
      </c>
      <c r="S102" s="9">
        <f>SUMIFS($E:$E,$B:$B,"="&amp;$H102,$A:$A,"="&amp;S$1)</f>
        <v>219</v>
      </c>
      <c r="T102" s="9">
        <f>SUMIFS($E:$E,$B:$B,"="&amp;$H102,$A:$A,"="&amp;T$1)</f>
        <v>215</v>
      </c>
      <c r="U102" s="9">
        <f>SUMIFS($E:$E,$B:$B,"="&amp;$H102,$A:$A,"="&amp;U$1)</f>
        <v>232</v>
      </c>
      <c r="V102" s="9">
        <f>SUMIFS($E:$E,$B:$B,"="&amp;$H102,$A:$A,"="&amp;V$1)</f>
        <v>235</v>
      </c>
      <c r="W102" s="9">
        <f>SUMIFS($E:$E,$B:$B,"="&amp;$H102,$A:$A,"="&amp;W$1)</f>
        <v>235</v>
      </c>
      <c r="X102" s="9">
        <f>SUMIFS($E:$E,$B:$B,"="&amp;$H102,$A:$A,"="&amp;X$1)</f>
        <v>235</v>
      </c>
      <c r="Y102" s="9">
        <f>SUMIFS($E:$E,$B:$B,"="&amp;$H102,$A:$A,"="&amp;Y$1)</f>
        <v>246</v>
      </c>
      <c r="Z102" s="9">
        <f>SUMIFS($E:$E,$B:$B,"="&amp;$H102,$A:$A,"="&amp;Z$1)</f>
        <v>252</v>
      </c>
      <c r="AA102" s="9">
        <f>SUMIFS($E:$E,$B:$B,"="&amp;$H102,$A:$A,"="&amp;AA$1)</f>
        <v>302</v>
      </c>
      <c r="AB102" s="9">
        <f>SUMIFS($E:$E,$B:$B,"="&amp;$H102,$A:$A,"="&amp;AB$1)</f>
        <v>302</v>
      </c>
      <c r="AC102" s="9">
        <f>SUMIFS($E:$E,$B:$B,"="&amp;$H102,$A:$A,"="&amp;AC$1)</f>
        <v>305</v>
      </c>
      <c r="AD102" s="9">
        <f>SUMIFS($E:$E,$B:$B,"="&amp;$H102,$A:$A,"="&amp;AD$1)</f>
        <v>305</v>
      </c>
      <c r="AE102" s="9">
        <f>SUMIFS($E:$E,$B:$B,"="&amp;$H102,$A:$A,"="&amp;AE$1)</f>
        <v>305</v>
      </c>
      <c r="AF102" s="9">
        <f>SUMIFS($E:$E,$B:$B,"="&amp;$H102,$A:$A,"="&amp;AF$1)</f>
        <v>332</v>
      </c>
      <c r="AH102" s="11">
        <f t="shared" si="6"/>
        <v>12</v>
      </c>
      <c r="AI102" s="11">
        <f t="shared" si="7"/>
        <v>9</v>
      </c>
      <c r="AJ102" s="11">
        <f t="shared" si="8"/>
        <v>2</v>
      </c>
    </row>
    <row r="103" spans="1:36" x14ac:dyDescent="0.25">
      <c r="A103" t="s">
        <v>14</v>
      </c>
      <c r="B103" t="s">
        <v>80</v>
      </c>
      <c r="C103">
        <v>16</v>
      </c>
      <c r="D103">
        <v>7</v>
      </c>
      <c r="E103">
        <v>27</v>
      </c>
      <c r="H103" t="s">
        <v>65</v>
      </c>
      <c r="I103" s="9">
        <f>SUMIFS($E:$E,$B:$B,"="&amp;$H103,$A:$A,"="&amp;I$1)</f>
        <v>6</v>
      </c>
      <c r="J103" s="9">
        <f>SUMIFS($E:$E,$B:$B,"="&amp;$H103,$A:$A,"="&amp;J$1)</f>
        <v>6</v>
      </c>
      <c r="K103" s="9">
        <f>SUMIFS($E:$E,$B:$B,"="&amp;$H103,$A:$A,"="&amp;K$1)</f>
        <v>6</v>
      </c>
      <c r="L103" s="9">
        <f>SUMIFS($E:$E,$B:$B,"="&amp;$H103,$A:$A,"="&amp;L$1)</f>
        <v>6</v>
      </c>
      <c r="M103" s="9">
        <f>SUMIFS($E:$E,$B:$B,"="&amp;$H103,$A:$A,"="&amp;M$1)</f>
        <v>6</v>
      </c>
      <c r="N103" s="9">
        <f>SUMIFS($E:$E,$B:$B,"="&amp;$H103,$A:$A,"="&amp;N$1)</f>
        <v>6</v>
      </c>
      <c r="O103" s="9">
        <f>SUMIFS($E:$E,$B:$B,"="&amp;$H103,$A:$A,"="&amp;O$1)</f>
        <v>6</v>
      </c>
      <c r="P103" s="9">
        <f>SUMIFS($E:$E,$B:$B,"="&amp;$H103,$A:$A,"="&amp;P$1)</f>
        <v>6</v>
      </c>
      <c r="Q103" s="9">
        <f>SUMIFS($E:$E,$B:$B,"="&amp;$H103,$A:$A,"="&amp;Q$1)</f>
        <v>6</v>
      </c>
      <c r="R103" s="9">
        <f>SUMIFS($E:$E,$B:$B,"="&amp;$H103,$A:$A,"="&amp;R$1)</f>
        <v>6</v>
      </c>
      <c r="S103" s="9">
        <f>SUMIFS($E:$E,$B:$B,"="&amp;$H103,$A:$A,"="&amp;S$1)</f>
        <v>6</v>
      </c>
      <c r="T103" s="9">
        <f>SUMIFS($E:$E,$B:$B,"="&amp;$H103,$A:$A,"="&amp;T$1)</f>
        <v>6</v>
      </c>
      <c r="U103" s="9">
        <f>SUMIFS($E:$E,$B:$B,"="&amp;$H103,$A:$A,"="&amp;U$1)</f>
        <v>6</v>
      </c>
      <c r="V103" s="9">
        <f>SUMIFS($E:$E,$B:$B,"="&amp;$H103,$A:$A,"="&amp;V$1)</f>
        <v>6</v>
      </c>
      <c r="W103" s="9">
        <f>SUMIFS($E:$E,$B:$B,"="&amp;$H103,$A:$A,"="&amp;W$1)</f>
        <v>6</v>
      </c>
      <c r="X103" s="9">
        <f>SUMIFS($E:$E,$B:$B,"="&amp;$H103,$A:$A,"="&amp;X$1)</f>
        <v>6</v>
      </c>
      <c r="Y103" s="9">
        <f>SUMIFS($E:$E,$B:$B,"="&amp;$H103,$A:$A,"="&amp;Y$1)</f>
        <v>6</v>
      </c>
      <c r="Z103" s="9">
        <f>SUMIFS($E:$E,$B:$B,"="&amp;$H103,$A:$A,"="&amp;Z$1)</f>
        <v>6</v>
      </c>
      <c r="AA103" s="9">
        <f>SUMIFS($E:$E,$B:$B,"="&amp;$H103,$A:$A,"="&amp;AA$1)</f>
        <v>6</v>
      </c>
      <c r="AB103" s="9">
        <f>SUMIFS($E:$E,$B:$B,"="&amp;$H103,$A:$A,"="&amp;AB$1)</f>
        <v>6</v>
      </c>
      <c r="AC103" s="9">
        <f>SUMIFS($E:$E,$B:$B,"="&amp;$H103,$A:$A,"="&amp;AC$1)</f>
        <v>6</v>
      </c>
      <c r="AD103" s="9">
        <f>SUMIFS($E:$E,$B:$B,"="&amp;$H103,$A:$A,"="&amp;AD$1)</f>
        <v>6</v>
      </c>
      <c r="AE103" s="9">
        <f>SUMIFS($E:$E,$B:$B,"="&amp;$H103,$A:$A,"="&amp;AE$1)</f>
        <v>6</v>
      </c>
      <c r="AF103" s="9">
        <f>SUMIFS($E:$E,$B:$B,"="&amp;$H103,$A:$A,"="&amp;AF$1)</f>
        <v>11</v>
      </c>
      <c r="AH103" s="11">
        <f t="shared" si="6"/>
        <v>1</v>
      </c>
      <c r="AI103" s="11">
        <f t="shared" si="7"/>
        <v>22</v>
      </c>
      <c r="AJ103" s="11">
        <f t="shared" si="8"/>
        <v>0</v>
      </c>
    </row>
    <row r="104" spans="1:36" x14ac:dyDescent="0.25">
      <c r="A104" t="s">
        <v>14</v>
      </c>
      <c r="B104" t="s">
        <v>87</v>
      </c>
      <c r="C104">
        <v>0</v>
      </c>
      <c r="D104">
        <v>15</v>
      </c>
      <c r="E104">
        <v>13</v>
      </c>
    </row>
    <row r="105" spans="1:36" x14ac:dyDescent="0.25">
      <c r="A105" t="s">
        <v>14</v>
      </c>
      <c r="B105" t="s">
        <v>88</v>
      </c>
      <c r="C105">
        <v>1</v>
      </c>
      <c r="D105">
        <v>10</v>
      </c>
      <c r="E105">
        <v>11</v>
      </c>
    </row>
    <row r="106" spans="1:36" x14ac:dyDescent="0.25">
      <c r="A106" t="s">
        <v>14</v>
      </c>
      <c r="B106" t="s">
        <v>81</v>
      </c>
      <c r="C106">
        <v>1</v>
      </c>
      <c r="D106">
        <v>13</v>
      </c>
      <c r="E106">
        <v>10</v>
      </c>
    </row>
    <row r="107" spans="1:36" x14ac:dyDescent="0.25">
      <c r="A107" t="s">
        <v>14</v>
      </c>
      <c r="B107" t="s">
        <v>74</v>
      </c>
      <c r="C107">
        <v>124</v>
      </c>
      <c r="D107">
        <v>43</v>
      </c>
      <c r="E107">
        <v>77</v>
      </c>
    </row>
    <row r="108" spans="1:36" x14ac:dyDescent="0.25">
      <c r="A108" t="s">
        <v>14</v>
      </c>
      <c r="B108" t="s">
        <v>89</v>
      </c>
      <c r="C108">
        <v>4</v>
      </c>
      <c r="D108">
        <v>14</v>
      </c>
      <c r="E108">
        <v>77</v>
      </c>
    </row>
    <row r="109" spans="1:36" x14ac:dyDescent="0.25">
      <c r="A109" t="s">
        <v>14</v>
      </c>
      <c r="B109" t="s">
        <v>77</v>
      </c>
      <c r="C109">
        <v>62</v>
      </c>
      <c r="D109">
        <v>11</v>
      </c>
      <c r="E109">
        <v>14</v>
      </c>
    </row>
    <row r="110" spans="1:36" x14ac:dyDescent="0.25">
      <c r="A110" t="s">
        <v>14</v>
      </c>
      <c r="B110" t="s">
        <v>90</v>
      </c>
      <c r="C110">
        <v>4</v>
      </c>
      <c r="D110">
        <v>2</v>
      </c>
      <c r="E110">
        <v>1</v>
      </c>
    </row>
    <row r="111" spans="1:36" x14ac:dyDescent="0.25">
      <c r="A111" t="s">
        <v>14</v>
      </c>
      <c r="B111" t="s">
        <v>78</v>
      </c>
      <c r="C111">
        <v>3</v>
      </c>
      <c r="D111">
        <v>2</v>
      </c>
      <c r="E111">
        <v>5</v>
      </c>
    </row>
    <row r="112" spans="1:36" x14ac:dyDescent="0.25">
      <c r="A112" t="s">
        <v>14</v>
      </c>
      <c r="B112" t="s">
        <v>91</v>
      </c>
      <c r="C112">
        <v>4</v>
      </c>
      <c r="D112">
        <v>0</v>
      </c>
      <c r="E112">
        <v>9</v>
      </c>
    </row>
    <row r="113" spans="1:5" x14ac:dyDescent="0.25">
      <c r="A113" t="s">
        <v>14</v>
      </c>
      <c r="B113" t="s">
        <v>75</v>
      </c>
      <c r="C113">
        <v>2</v>
      </c>
      <c r="D113">
        <v>0</v>
      </c>
      <c r="E113">
        <v>3</v>
      </c>
    </row>
    <row r="114" spans="1:5" x14ac:dyDescent="0.25">
      <c r="A114" t="s">
        <v>14</v>
      </c>
      <c r="B114" t="s">
        <v>65</v>
      </c>
      <c r="C114">
        <v>2</v>
      </c>
      <c r="D114">
        <v>0</v>
      </c>
      <c r="E114">
        <v>6</v>
      </c>
    </row>
    <row r="115" spans="1:5" x14ac:dyDescent="0.25">
      <c r="A115" t="s">
        <v>14</v>
      </c>
      <c r="B115" t="s">
        <v>82</v>
      </c>
      <c r="C115">
        <v>4</v>
      </c>
      <c r="D115">
        <v>0</v>
      </c>
      <c r="E115">
        <v>16</v>
      </c>
    </row>
    <row r="116" spans="1:5" x14ac:dyDescent="0.25">
      <c r="A116" t="s">
        <v>15</v>
      </c>
      <c r="B116" t="s">
        <v>79</v>
      </c>
      <c r="C116">
        <v>0</v>
      </c>
      <c r="D116">
        <v>6</v>
      </c>
      <c r="E116">
        <v>0</v>
      </c>
    </row>
    <row r="117" spans="1:5" x14ac:dyDescent="0.25">
      <c r="A117" t="s">
        <v>15</v>
      </c>
      <c r="B117" t="s">
        <v>64</v>
      </c>
      <c r="C117">
        <v>216</v>
      </c>
      <c r="D117">
        <v>20</v>
      </c>
      <c r="E117">
        <v>168</v>
      </c>
    </row>
    <row r="118" spans="1:5" x14ac:dyDescent="0.25">
      <c r="A118" t="s">
        <v>15</v>
      </c>
      <c r="B118" t="s">
        <v>74</v>
      </c>
      <c r="C118">
        <v>125</v>
      </c>
      <c r="D118">
        <v>43</v>
      </c>
      <c r="E118">
        <v>77</v>
      </c>
    </row>
    <row r="119" spans="1:5" x14ac:dyDescent="0.25">
      <c r="A119" t="s">
        <v>15</v>
      </c>
      <c r="B119" t="s">
        <v>89</v>
      </c>
      <c r="C119">
        <v>4</v>
      </c>
      <c r="D119">
        <v>14</v>
      </c>
      <c r="E119">
        <v>77</v>
      </c>
    </row>
    <row r="120" spans="1:5" x14ac:dyDescent="0.25">
      <c r="A120" t="s">
        <v>15</v>
      </c>
      <c r="B120" t="s">
        <v>86</v>
      </c>
      <c r="C120">
        <v>4</v>
      </c>
      <c r="D120">
        <v>1</v>
      </c>
      <c r="E120">
        <v>7</v>
      </c>
    </row>
    <row r="121" spans="1:5" x14ac:dyDescent="0.25">
      <c r="A121" t="s">
        <v>15</v>
      </c>
      <c r="B121" t="s">
        <v>77</v>
      </c>
      <c r="C121">
        <v>64</v>
      </c>
      <c r="D121">
        <v>11</v>
      </c>
      <c r="E121">
        <v>14</v>
      </c>
    </row>
    <row r="122" spans="1:5" x14ac:dyDescent="0.25">
      <c r="A122" t="s">
        <v>15</v>
      </c>
      <c r="B122" t="s">
        <v>90</v>
      </c>
      <c r="C122">
        <v>4</v>
      </c>
      <c r="D122">
        <v>2</v>
      </c>
      <c r="E122">
        <v>1</v>
      </c>
    </row>
    <row r="123" spans="1:5" x14ac:dyDescent="0.25">
      <c r="A123" t="s">
        <v>15</v>
      </c>
      <c r="B123" t="s">
        <v>78</v>
      </c>
      <c r="C123">
        <v>3</v>
      </c>
      <c r="D123">
        <v>2</v>
      </c>
      <c r="E123">
        <v>5</v>
      </c>
    </row>
    <row r="124" spans="1:5" x14ac:dyDescent="0.25">
      <c r="A124" t="s">
        <v>15</v>
      </c>
      <c r="B124" t="s">
        <v>76</v>
      </c>
      <c r="C124">
        <v>1</v>
      </c>
      <c r="D124">
        <v>15</v>
      </c>
      <c r="E124">
        <v>18</v>
      </c>
    </row>
    <row r="125" spans="1:5" x14ac:dyDescent="0.25">
      <c r="A125" t="s">
        <v>15</v>
      </c>
      <c r="B125" t="s">
        <v>63</v>
      </c>
      <c r="C125">
        <v>21</v>
      </c>
      <c r="D125">
        <v>95</v>
      </c>
      <c r="E125">
        <v>245</v>
      </c>
    </row>
    <row r="126" spans="1:5" x14ac:dyDescent="0.25">
      <c r="A126" t="s">
        <v>15</v>
      </c>
      <c r="B126" t="s">
        <v>80</v>
      </c>
      <c r="C126">
        <v>16</v>
      </c>
      <c r="D126">
        <v>7</v>
      </c>
      <c r="E126">
        <v>27</v>
      </c>
    </row>
    <row r="127" spans="1:5" x14ac:dyDescent="0.25">
      <c r="A127" t="s">
        <v>15</v>
      </c>
      <c r="B127" t="s">
        <v>87</v>
      </c>
      <c r="C127">
        <v>0</v>
      </c>
      <c r="D127">
        <v>15</v>
      </c>
      <c r="E127">
        <v>13</v>
      </c>
    </row>
    <row r="128" spans="1:5" x14ac:dyDescent="0.25">
      <c r="A128" t="s">
        <v>15</v>
      </c>
      <c r="B128" t="s">
        <v>88</v>
      </c>
      <c r="C128">
        <v>1</v>
      </c>
      <c r="D128">
        <v>10</v>
      </c>
      <c r="E128">
        <v>11</v>
      </c>
    </row>
    <row r="129" spans="1:5" x14ac:dyDescent="0.25">
      <c r="A129" t="s">
        <v>15</v>
      </c>
      <c r="B129" t="s">
        <v>81</v>
      </c>
      <c r="C129">
        <v>1</v>
      </c>
      <c r="D129">
        <v>13</v>
      </c>
      <c r="E129">
        <v>10</v>
      </c>
    </row>
    <row r="130" spans="1:5" x14ac:dyDescent="0.25">
      <c r="A130" t="s">
        <v>15</v>
      </c>
      <c r="B130" t="s">
        <v>83</v>
      </c>
      <c r="C130">
        <v>3</v>
      </c>
      <c r="D130">
        <v>9</v>
      </c>
      <c r="E130">
        <v>40</v>
      </c>
    </row>
    <row r="131" spans="1:5" x14ac:dyDescent="0.25">
      <c r="A131" t="s">
        <v>15</v>
      </c>
      <c r="B131" t="s">
        <v>84</v>
      </c>
      <c r="C131">
        <v>4</v>
      </c>
      <c r="D131">
        <v>12</v>
      </c>
      <c r="E131">
        <v>0</v>
      </c>
    </row>
    <row r="132" spans="1:5" x14ac:dyDescent="0.25">
      <c r="A132" t="s">
        <v>15</v>
      </c>
      <c r="B132" t="s">
        <v>85</v>
      </c>
      <c r="C132">
        <v>1</v>
      </c>
      <c r="D132">
        <v>13</v>
      </c>
      <c r="E132">
        <v>28</v>
      </c>
    </row>
    <row r="133" spans="1:5" x14ac:dyDescent="0.25">
      <c r="A133" t="s">
        <v>15</v>
      </c>
      <c r="B133" t="s">
        <v>82</v>
      </c>
      <c r="C133">
        <v>4</v>
      </c>
      <c r="D133">
        <v>0</v>
      </c>
      <c r="E133">
        <v>16</v>
      </c>
    </row>
    <row r="134" spans="1:5" x14ac:dyDescent="0.25">
      <c r="A134" t="s">
        <v>15</v>
      </c>
      <c r="B134" t="s">
        <v>65</v>
      </c>
      <c r="C134">
        <v>2</v>
      </c>
      <c r="D134">
        <v>0</v>
      </c>
      <c r="E134">
        <v>6</v>
      </c>
    </row>
    <row r="135" spans="1:5" x14ac:dyDescent="0.25">
      <c r="A135" t="s">
        <v>15</v>
      </c>
      <c r="B135" t="s">
        <v>91</v>
      </c>
      <c r="C135">
        <v>4</v>
      </c>
      <c r="D135">
        <v>0</v>
      </c>
      <c r="E135">
        <v>9</v>
      </c>
    </row>
    <row r="136" spans="1:5" x14ac:dyDescent="0.25">
      <c r="A136" t="s">
        <v>15</v>
      </c>
      <c r="B136" t="s">
        <v>75</v>
      </c>
      <c r="C136">
        <v>2</v>
      </c>
      <c r="D136">
        <v>0</v>
      </c>
      <c r="E136">
        <v>3</v>
      </c>
    </row>
    <row r="137" spans="1:5" x14ac:dyDescent="0.25">
      <c r="A137" t="s">
        <v>16</v>
      </c>
      <c r="B137" t="s">
        <v>64</v>
      </c>
      <c r="C137">
        <v>216</v>
      </c>
      <c r="D137">
        <v>20</v>
      </c>
      <c r="E137">
        <v>168</v>
      </c>
    </row>
    <row r="138" spans="1:5" x14ac:dyDescent="0.25">
      <c r="A138" t="s">
        <v>16</v>
      </c>
      <c r="B138" t="s">
        <v>74</v>
      </c>
      <c r="C138">
        <v>125</v>
      </c>
      <c r="D138">
        <v>43</v>
      </c>
      <c r="E138">
        <v>77</v>
      </c>
    </row>
    <row r="139" spans="1:5" x14ac:dyDescent="0.25">
      <c r="A139" t="s">
        <v>16</v>
      </c>
      <c r="B139" t="s">
        <v>89</v>
      </c>
      <c r="C139">
        <v>4</v>
      </c>
      <c r="D139">
        <v>14</v>
      </c>
      <c r="E139">
        <v>77</v>
      </c>
    </row>
    <row r="140" spans="1:5" x14ac:dyDescent="0.25">
      <c r="A140" t="s">
        <v>16</v>
      </c>
      <c r="B140" t="s">
        <v>86</v>
      </c>
      <c r="C140">
        <v>4</v>
      </c>
      <c r="D140">
        <v>1</v>
      </c>
      <c r="E140">
        <v>7</v>
      </c>
    </row>
    <row r="141" spans="1:5" x14ac:dyDescent="0.25">
      <c r="A141" t="s">
        <v>16</v>
      </c>
      <c r="B141" t="s">
        <v>77</v>
      </c>
      <c r="C141">
        <v>64</v>
      </c>
      <c r="D141">
        <v>11</v>
      </c>
      <c r="E141">
        <v>14</v>
      </c>
    </row>
    <row r="142" spans="1:5" x14ac:dyDescent="0.25">
      <c r="A142" t="s">
        <v>16</v>
      </c>
      <c r="B142" t="s">
        <v>78</v>
      </c>
      <c r="C142">
        <v>3</v>
      </c>
      <c r="D142">
        <v>2</v>
      </c>
      <c r="E142">
        <v>5</v>
      </c>
    </row>
    <row r="143" spans="1:5" x14ac:dyDescent="0.25">
      <c r="A143" t="s">
        <v>16</v>
      </c>
      <c r="B143" t="s">
        <v>90</v>
      </c>
      <c r="C143">
        <v>4</v>
      </c>
      <c r="D143">
        <v>2</v>
      </c>
      <c r="E143">
        <v>1</v>
      </c>
    </row>
    <row r="144" spans="1:5" x14ac:dyDescent="0.25">
      <c r="A144" t="s">
        <v>16</v>
      </c>
      <c r="B144" t="s">
        <v>83</v>
      </c>
      <c r="C144">
        <v>3</v>
      </c>
      <c r="D144">
        <v>9</v>
      </c>
      <c r="E144">
        <v>40</v>
      </c>
    </row>
    <row r="145" spans="1:5" x14ac:dyDescent="0.25">
      <c r="A145" t="s">
        <v>16</v>
      </c>
      <c r="B145" t="s">
        <v>84</v>
      </c>
      <c r="C145">
        <v>4</v>
      </c>
      <c r="D145">
        <v>12</v>
      </c>
      <c r="E145">
        <v>0</v>
      </c>
    </row>
    <row r="146" spans="1:5" x14ac:dyDescent="0.25">
      <c r="A146" t="s">
        <v>16</v>
      </c>
      <c r="B146" t="s">
        <v>85</v>
      </c>
      <c r="C146">
        <v>1</v>
      </c>
      <c r="D146">
        <v>13</v>
      </c>
      <c r="E146">
        <v>28</v>
      </c>
    </row>
    <row r="147" spans="1:5" x14ac:dyDescent="0.25">
      <c r="A147" t="s">
        <v>16</v>
      </c>
      <c r="B147" t="s">
        <v>79</v>
      </c>
      <c r="C147">
        <v>0</v>
      </c>
      <c r="D147">
        <v>6</v>
      </c>
      <c r="E147">
        <v>0</v>
      </c>
    </row>
    <row r="148" spans="1:5" x14ac:dyDescent="0.25">
      <c r="A148" t="s">
        <v>16</v>
      </c>
      <c r="B148" t="s">
        <v>63</v>
      </c>
      <c r="C148">
        <v>21</v>
      </c>
      <c r="D148">
        <v>95</v>
      </c>
      <c r="E148">
        <v>245</v>
      </c>
    </row>
    <row r="149" spans="1:5" x14ac:dyDescent="0.25">
      <c r="A149" t="s">
        <v>16</v>
      </c>
      <c r="B149" t="s">
        <v>80</v>
      </c>
      <c r="C149">
        <v>16</v>
      </c>
      <c r="D149">
        <v>7</v>
      </c>
      <c r="E149">
        <v>27</v>
      </c>
    </row>
    <row r="150" spans="1:5" x14ac:dyDescent="0.25">
      <c r="A150" t="s">
        <v>16</v>
      </c>
      <c r="B150" t="s">
        <v>76</v>
      </c>
      <c r="C150">
        <v>1</v>
      </c>
      <c r="D150">
        <v>15</v>
      </c>
      <c r="E150">
        <v>18</v>
      </c>
    </row>
    <row r="151" spans="1:5" x14ac:dyDescent="0.25">
      <c r="A151" t="s">
        <v>16</v>
      </c>
      <c r="B151" t="s">
        <v>87</v>
      </c>
      <c r="C151">
        <v>0</v>
      </c>
      <c r="D151">
        <v>15</v>
      </c>
      <c r="E151">
        <v>13</v>
      </c>
    </row>
    <row r="152" spans="1:5" x14ac:dyDescent="0.25">
      <c r="A152" t="s">
        <v>16</v>
      </c>
      <c r="B152" t="s">
        <v>88</v>
      </c>
      <c r="C152">
        <v>1</v>
      </c>
      <c r="D152">
        <v>10</v>
      </c>
      <c r="E152">
        <v>11</v>
      </c>
    </row>
    <row r="153" spans="1:5" x14ac:dyDescent="0.25">
      <c r="A153" t="s">
        <v>16</v>
      </c>
      <c r="B153" t="s">
        <v>81</v>
      </c>
      <c r="C153">
        <v>1</v>
      </c>
      <c r="D153">
        <v>13</v>
      </c>
      <c r="E153">
        <v>10</v>
      </c>
    </row>
    <row r="154" spans="1:5" x14ac:dyDescent="0.25">
      <c r="A154" t="s">
        <v>16</v>
      </c>
      <c r="B154" t="s">
        <v>82</v>
      </c>
      <c r="C154">
        <v>4</v>
      </c>
      <c r="D154">
        <v>0</v>
      </c>
      <c r="E154">
        <v>16</v>
      </c>
    </row>
    <row r="155" spans="1:5" x14ac:dyDescent="0.25">
      <c r="A155" t="s">
        <v>16</v>
      </c>
      <c r="B155" t="s">
        <v>65</v>
      </c>
      <c r="C155">
        <v>2</v>
      </c>
      <c r="D155">
        <v>0</v>
      </c>
      <c r="E155">
        <v>6</v>
      </c>
    </row>
    <row r="156" spans="1:5" x14ac:dyDescent="0.25">
      <c r="A156" t="s">
        <v>16</v>
      </c>
      <c r="B156" t="s">
        <v>91</v>
      </c>
      <c r="C156">
        <v>4</v>
      </c>
      <c r="D156">
        <v>0</v>
      </c>
      <c r="E156">
        <v>9</v>
      </c>
    </row>
    <row r="157" spans="1:5" x14ac:dyDescent="0.25">
      <c r="A157" t="s">
        <v>16</v>
      </c>
      <c r="B157" t="s">
        <v>75</v>
      </c>
      <c r="C157">
        <v>2</v>
      </c>
      <c r="D157">
        <v>0</v>
      </c>
      <c r="E157">
        <v>3</v>
      </c>
    </row>
    <row r="158" spans="1:5" x14ac:dyDescent="0.25">
      <c r="A158" t="s">
        <v>17</v>
      </c>
      <c r="B158" t="s">
        <v>64</v>
      </c>
      <c r="C158">
        <v>275</v>
      </c>
      <c r="D158">
        <v>31</v>
      </c>
      <c r="E158">
        <v>219</v>
      </c>
    </row>
    <row r="159" spans="1:5" x14ac:dyDescent="0.25">
      <c r="A159" t="s">
        <v>17</v>
      </c>
      <c r="B159" t="s">
        <v>83</v>
      </c>
      <c r="C159">
        <v>2</v>
      </c>
      <c r="D159">
        <v>13</v>
      </c>
      <c r="E159">
        <v>85</v>
      </c>
    </row>
    <row r="160" spans="1:5" x14ac:dyDescent="0.25">
      <c r="A160" t="s">
        <v>17</v>
      </c>
      <c r="B160" t="s">
        <v>84</v>
      </c>
      <c r="C160">
        <v>5</v>
      </c>
      <c r="D160">
        <v>12</v>
      </c>
      <c r="E160">
        <v>0</v>
      </c>
    </row>
    <row r="161" spans="1:5" x14ac:dyDescent="0.25">
      <c r="A161" t="s">
        <v>17</v>
      </c>
      <c r="B161" t="s">
        <v>85</v>
      </c>
      <c r="C161">
        <v>3</v>
      </c>
      <c r="D161">
        <v>14</v>
      </c>
      <c r="E161">
        <v>51</v>
      </c>
    </row>
    <row r="162" spans="1:5" x14ac:dyDescent="0.25">
      <c r="A162" t="s">
        <v>17</v>
      </c>
      <c r="B162" t="s">
        <v>86</v>
      </c>
      <c r="C162">
        <v>4</v>
      </c>
      <c r="D162">
        <v>2</v>
      </c>
      <c r="E162">
        <v>7</v>
      </c>
    </row>
    <row r="163" spans="1:5" x14ac:dyDescent="0.25">
      <c r="A163" t="s">
        <v>17</v>
      </c>
      <c r="B163" t="s">
        <v>79</v>
      </c>
      <c r="C163">
        <v>0</v>
      </c>
      <c r="D163">
        <v>10</v>
      </c>
      <c r="E163">
        <v>0</v>
      </c>
    </row>
    <row r="164" spans="1:5" x14ac:dyDescent="0.25">
      <c r="A164" t="s">
        <v>17</v>
      </c>
      <c r="B164" t="s">
        <v>92</v>
      </c>
      <c r="C164">
        <v>1</v>
      </c>
      <c r="D164">
        <v>5</v>
      </c>
      <c r="E164">
        <v>0</v>
      </c>
    </row>
    <row r="165" spans="1:5" x14ac:dyDescent="0.25">
      <c r="A165" t="s">
        <v>17</v>
      </c>
      <c r="B165" t="s">
        <v>63</v>
      </c>
      <c r="C165">
        <v>25</v>
      </c>
      <c r="D165">
        <v>112</v>
      </c>
      <c r="E165">
        <v>316</v>
      </c>
    </row>
    <row r="166" spans="1:5" x14ac:dyDescent="0.25">
      <c r="A166" t="s">
        <v>17</v>
      </c>
      <c r="B166" t="s">
        <v>76</v>
      </c>
      <c r="C166">
        <v>1</v>
      </c>
      <c r="D166">
        <v>15</v>
      </c>
      <c r="E166">
        <v>18</v>
      </c>
    </row>
    <row r="167" spans="1:5" x14ac:dyDescent="0.25">
      <c r="A167" t="s">
        <v>17</v>
      </c>
      <c r="B167" t="s">
        <v>80</v>
      </c>
      <c r="C167">
        <v>16</v>
      </c>
      <c r="D167">
        <v>8</v>
      </c>
      <c r="E167">
        <v>30</v>
      </c>
    </row>
    <row r="168" spans="1:5" x14ac:dyDescent="0.25">
      <c r="A168" t="s">
        <v>17</v>
      </c>
      <c r="B168" t="s">
        <v>87</v>
      </c>
      <c r="C168">
        <v>0</v>
      </c>
      <c r="D168">
        <v>15</v>
      </c>
      <c r="E168">
        <v>13</v>
      </c>
    </row>
    <row r="169" spans="1:5" x14ac:dyDescent="0.25">
      <c r="A169" t="s">
        <v>17</v>
      </c>
      <c r="B169" t="s">
        <v>88</v>
      </c>
      <c r="C169">
        <v>2</v>
      </c>
      <c r="D169">
        <v>10</v>
      </c>
      <c r="E169">
        <v>13</v>
      </c>
    </row>
    <row r="170" spans="1:5" x14ac:dyDescent="0.25">
      <c r="A170" t="s">
        <v>17</v>
      </c>
      <c r="B170" t="s">
        <v>81</v>
      </c>
      <c r="C170">
        <v>1</v>
      </c>
      <c r="D170">
        <v>13</v>
      </c>
      <c r="E170">
        <v>10</v>
      </c>
    </row>
    <row r="171" spans="1:5" x14ac:dyDescent="0.25">
      <c r="A171" t="s">
        <v>17</v>
      </c>
      <c r="B171" t="s">
        <v>74</v>
      </c>
      <c r="C171">
        <v>150</v>
      </c>
      <c r="D171">
        <v>67</v>
      </c>
      <c r="E171">
        <v>126</v>
      </c>
    </row>
    <row r="172" spans="1:5" x14ac:dyDescent="0.25">
      <c r="A172" t="s">
        <v>17</v>
      </c>
      <c r="B172" t="s">
        <v>93</v>
      </c>
      <c r="C172">
        <v>0</v>
      </c>
      <c r="D172">
        <v>3</v>
      </c>
      <c r="E172">
        <v>2</v>
      </c>
    </row>
    <row r="173" spans="1:5" x14ac:dyDescent="0.25">
      <c r="A173" t="s">
        <v>17</v>
      </c>
      <c r="B173" t="s">
        <v>89</v>
      </c>
      <c r="C173">
        <v>6</v>
      </c>
      <c r="D173">
        <v>20</v>
      </c>
      <c r="E173">
        <v>91</v>
      </c>
    </row>
    <row r="174" spans="1:5" x14ac:dyDescent="0.25">
      <c r="A174" t="s">
        <v>17</v>
      </c>
      <c r="B174" t="s">
        <v>94</v>
      </c>
      <c r="C174">
        <v>5</v>
      </c>
      <c r="D174">
        <v>8</v>
      </c>
      <c r="E174">
        <v>14</v>
      </c>
    </row>
    <row r="175" spans="1:5" x14ac:dyDescent="0.25">
      <c r="A175" t="s">
        <v>17</v>
      </c>
      <c r="B175" t="s">
        <v>77</v>
      </c>
      <c r="C175">
        <v>89</v>
      </c>
      <c r="D175">
        <v>14</v>
      </c>
      <c r="E175">
        <v>26</v>
      </c>
    </row>
    <row r="176" spans="1:5" x14ac:dyDescent="0.25">
      <c r="A176" t="s">
        <v>17</v>
      </c>
      <c r="B176" t="s">
        <v>90</v>
      </c>
      <c r="C176">
        <v>4</v>
      </c>
      <c r="D176">
        <v>2</v>
      </c>
      <c r="E176">
        <v>1</v>
      </c>
    </row>
    <row r="177" spans="1:5" x14ac:dyDescent="0.25">
      <c r="A177" t="s">
        <v>17</v>
      </c>
      <c r="B177" t="s">
        <v>78</v>
      </c>
      <c r="C177">
        <v>7</v>
      </c>
      <c r="D177">
        <v>2</v>
      </c>
      <c r="E177">
        <v>5</v>
      </c>
    </row>
    <row r="178" spans="1:5" x14ac:dyDescent="0.25">
      <c r="A178" t="s">
        <v>17</v>
      </c>
      <c r="B178" t="s">
        <v>91</v>
      </c>
      <c r="C178">
        <v>4</v>
      </c>
      <c r="D178">
        <v>0</v>
      </c>
      <c r="E178">
        <v>9</v>
      </c>
    </row>
    <row r="179" spans="1:5" x14ac:dyDescent="0.25">
      <c r="A179" t="s">
        <v>17</v>
      </c>
      <c r="B179" t="s">
        <v>75</v>
      </c>
      <c r="C179">
        <v>2</v>
      </c>
      <c r="D179">
        <v>0</v>
      </c>
      <c r="E179">
        <v>3</v>
      </c>
    </row>
    <row r="180" spans="1:5" x14ac:dyDescent="0.25">
      <c r="A180" t="s">
        <v>17</v>
      </c>
      <c r="B180" t="s">
        <v>65</v>
      </c>
      <c r="C180">
        <v>2</v>
      </c>
      <c r="D180">
        <v>0</v>
      </c>
      <c r="E180">
        <v>6</v>
      </c>
    </row>
    <row r="181" spans="1:5" x14ac:dyDescent="0.25">
      <c r="A181" t="s">
        <v>17</v>
      </c>
      <c r="B181" t="s">
        <v>82</v>
      </c>
      <c r="C181">
        <v>6</v>
      </c>
      <c r="D181">
        <v>0</v>
      </c>
      <c r="E181">
        <v>22</v>
      </c>
    </row>
    <row r="182" spans="1:5" x14ac:dyDescent="0.25">
      <c r="A182" t="s">
        <v>18</v>
      </c>
      <c r="B182" t="s">
        <v>64</v>
      </c>
      <c r="C182">
        <v>277</v>
      </c>
      <c r="D182">
        <v>31</v>
      </c>
      <c r="E182">
        <v>215</v>
      </c>
    </row>
    <row r="183" spans="1:5" x14ac:dyDescent="0.25">
      <c r="A183" t="s">
        <v>18</v>
      </c>
      <c r="B183" t="s">
        <v>83</v>
      </c>
      <c r="C183">
        <v>2</v>
      </c>
      <c r="D183">
        <v>13</v>
      </c>
      <c r="E183">
        <v>85</v>
      </c>
    </row>
    <row r="184" spans="1:5" x14ac:dyDescent="0.25">
      <c r="A184" t="s">
        <v>18</v>
      </c>
      <c r="B184" t="s">
        <v>84</v>
      </c>
      <c r="C184">
        <v>5</v>
      </c>
      <c r="D184">
        <v>12</v>
      </c>
      <c r="E184">
        <v>0</v>
      </c>
    </row>
    <row r="185" spans="1:5" x14ac:dyDescent="0.25">
      <c r="A185" t="s">
        <v>18</v>
      </c>
      <c r="B185" t="s">
        <v>85</v>
      </c>
      <c r="C185">
        <v>3</v>
      </c>
      <c r="D185">
        <v>14</v>
      </c>
      <c r="E185">
        <v>51</v>
      </c>
    </row>
    <row r="186" spans="1:5" x14ac:dyDescent="0.25">
      <c r="A186" t="s">
        <v>18</v>
      </c>
      <c r="B186" t="s">
        <v>86</v>
      </c>
      <c r="C186">
        <v>4</v>
      </c>
      <c r="D186">
        <v>2</v>
      </c>
      <c r="E186">
        <v>7</v>
      </c>
    </row>
    <row r="187" spans="1:5" x14ac:dyDescent="0.25">
      <c r="A187" t="s">
        <v>18</v>
      </c>
      <c r="B187" t="s">
        <v>79</v>
      </c>
      <c r="C187">
        <v>0</v>
      </c>
      <c r="D187">
        <v>10</v>
      </c>
      <c r="E187">
        <v>0</v>
      </c>
    </row>
    <row r="188" spans="1:5" x14ac:dyDescent="0.25">
      <c r="A188" t="s">
        <v>18</v>
      </c>
      <c r="B188" t="s">
        <v>92</v>
      </c>
      <c r="C188">
        <v>1</v>
      </c>
      <c r="D188">
        <v>5</v>
      </c>
      <c r="E188">
        <v>0</v>
      </c>
    </row>
    <row r="189" spans="1:5" x14ac:dyDescent="0.25">
      <c r="A189" t="s">
        <v>18</v>
      </c>
      <c r="B189" t="s">
        <v>63</v>
      </c>
      <c r="C189">
        <v>28</v>
      </c>
      <c r="D189">
        <v>112</v>
      </c>
      <c r="E189">
        <v>319</v>
      </c>
    </row>
    <row r="190" spans="1:5" x14ac:dyDescent="0.25">
      <c r="A190" t="s">
        <v>18</v>
      </c>
      <c r="B190" t="s">
        <v>76</v>
      </c>
      <c r="C190">
        <v>1</v>
      </c>
      <c r="D190">
        <v>15</v>
      </c>
      <c r="E190">
        <v>18</v>
      </c>
    </row>
    <row r="191" spans="1:5" x14ac:dyDescent="0.25">
      <c r="A191" t="s">
        <v>18</v>
      </c>
      <c r="B191" t="s">
        <v>80</v>
      </c>
      <c r="C191">
        <v>16</v>
      </c>
      <c r="D191">
        <v>8</v>
      </c>
      <c r="E191">
        <v>30</v>
      </c>
    </row>
    <row r="192" spans="1:5" x14ac:dyDescent="0.25">
      <c r="A192" t="s">
        <v>18</v>
      </c>
      <c r="B192" t="s">
        <v>87</v>
      </c>
      <c r="C192">
        <v>0</v>
      </c>
      <c r="D192">
        <v>12</v>
      </c>
      <c r="E192">
        <v>14</v>
      </c>
    </row>
    <row r="193" spans="1:5" x14ac:dyDescent="0.25">
      <c r="A193" t="s">
        <v>18</v>
      </c>
      <c r="B193" t="s">
        <v>88</v>
      </c>
      <c r="C193">
        <v>2</v>
      </c>
      <c r="D193">
        <v>10</v>
      </c>
      <c r="E193">
        <v>13</v>
      </c>
    </row>
    <row r="194" spans="1:5" x14ac:dyDescent="0.25">
      <c r="A194" t="s">
        <v>18</v>
      </c>
      <c r="B194" t="s">
        <v>81</v>
      </c>
      <c r="C194">
        <v>1</v>
      </c>
      <c r="D194">
        <v>13</v>
      </c>
      <c r="E194">
        <v>10</v>
      </c>
    </row>
    <row r="195" spans="1:5" x14ac:dyDescent="0.25">
      <c r="A195" t="s">
        <v>18</v>
      </c>
      <c r="B195" t="s">
        <v>74</v>
      </c>
      <c r="C195">
        <v>149</v>
      </c>
      <c r="D195">
        <v>67</v>
      </c>
      <c r="E195">
        <v>126</v>
      </c>
    </row>
    <row r="196" spans="1:5" x14ac:dyDescent="0.25">
      <c r="A196" t="s">
        <v>18</v>
      </c>
      <c r="B196" t="s">
        <v>93</v>
      </c>
      <c r="C196">
        <v>0</v>
      </c>
      <c r="D196">
        <v>3</v>
      </c>
      <c r="E196">
        <v>2</v>
      </c>
    </row>
    <row r="197" spans="1:5" x14ac:dyDescent="0.25">
      <c r="A197" t="s">
        <v>18</v>
      </c>
      <c r="B197" t="s">
        <v>89</v>
      </c>
      <c r="C197">
        <v>6</v>
      </c>
      <c r="D197">
        <v>20</v>
      </c>
      <c r="E197">
        <v>91</v>
      </c>
    </row>
    <row r="198" spans="1:5" x14ac:dyDescent="0.25">
      <c r="A198" t="s">
        <v>18</v>
      </c>
      <c r="B198" t="s">
        <v>94</v>
      </c>
      <c r="C198">
        <v>5</v>
      </c>
      <c r="D198">
        <v>8</v>
      </c>
      <c r="E198">
        <v>14</v>
      </c>
    </row>
    <row r="199" spans="1:5" x14ac:dyDescent="0.25">
      <c r="A199" t="s">
        <v>18</v>
      </c>
      <c r="B199" t="s">
        <v>77</v>
      </c>
      <c r="C199">
        <v>89</v>
      </c>
      <c r="D199">
        <v>14</v>
      </c>
      <c r="E199">
        <v>26</v>
      </c>
    </row>
    <row r="200" spans="1:5" x14ac:dyDescent="0.25">
      <c r="A200" t="s">
        <v>18</v>
      </c>
      <c r="B200" t="s">
        <v>90</v>
      </c>
      <c r="C200">
        <v>4</v>
      </c>
      <c r="D200">
        <v>2</v>
      </c>
      <c r="E200">
        <v>1</v>
      </c>
    </row>
    <row r="201" spans="1:5" x14ac:dyDescent="0.25">
      <c r="A201" t="s">
        <v>18</v>
      </c>
      <c r="B201" t="s">
        <v>78</v>
      </c>
      <c r="C201">
        <v>7</v>
      </c>
      <c r="D201">
        <v>2</v>
      </c>
      <c r="E201">
        <v>5</v>
      </c>
    </row>
    <row r="202" spans="1:5" x14ac:dyDescent="0.25">
      <c r="A202" t="s">
        <v>18</v>
      </c>
      <c r="B202" t="s">
        <v>91</v>
      </c>
      <c r="C202">
        <v>4</v>
      </c>
      <c r="D202">
        <v>0</v>
      </c>
      <c r="E202">
        <v>9</v>
      </c>
    </row>
    <row r="203" spans="1:5" x14ac:dyDescent="0.25">
      <c r="A203" t="s">
        <v>18</v>
      </c>
      <c r="B203" t="s">
        <v>75</v>
      </c>
      <c r="C203">
        <v>2</v>
      </c>
      <c r="D203">
        <v>0</v>
      </c>
      <c r="E203">
        <v>3</v>
      </c>
    </row>
    <row r="204" spans="1:5" x14ac:dyDescent="0.25">
      <c r="A204" t="s">
        <v>18</v>
      </c>
      <c r="B204" t="s">
        <v>65</v>
      </c>
      <c r="C204">
        <v>2</v>
      </c>
      <c r="D204">
        <v>0</v>
      </c>
      <c r="E204">
        <v>6</v>
      </c>
    </row>
    <row r="205" spans="1:5" x14ac:dyDescent="0.25">
      <c r="A205" t="s">
        <v>18</v>
      </c>
      <c r="B205" t="s">
        <v>82</v>
      </c>
      <c r="C205">
        <v>6</v>
      </c>
      <c r="D205">
        <v>0</v>
      </c>
      <c r="E205">
        <v>22</v>
      </c>
    </row>
    <row r="206" spans="1:5" x14ac:dyDescent="0.25">
      <c r="A206" t="s">
        <v>19</v>
      </c>
      <c r="B206" t="s">
        <v>64</v>
      </c>
      <c r="C206">
        <v>280</v>
      </c>
      <c r="D206">
        <v>29</v>
      </c>
      <c r="E206">
        <v>232</v>
      </c>
    </row>
    <row r="207" spans="1:5" x14ac:dyDescent="0.25">
      <c r="A207" t="s">
        <v>19</v>
      </c>
      <c r="B207" t="s">
        <v>83</v>
      </c>
      <c r="C207">
        <v>2</v>
      </c>
      <c r="D207">
        <v>13</v>
      </c>
      <c r="E207">
        <v>74</v>
      </c>
    </row>
    <row r="208" spans="1:5" x14ac:dyDescent="0.25">
      <c r="A208" t="s">
        <v>19</v>
      </c>
      <c r="B208" t="s">
        <v>84</v>
      </c>
      <c r="C208">
        <v>6</v>
      </c>
      <c r="D208">
        <v>11</v>
      </c>
      <c r="E208">
        <v>0</v>
      </c>
    </row>
    <row r="209" spans="1:5" x14ac:dyDescent="0.25">
      <c r="A209" t="s">
        <v>19</v>
      </c>
      <c r="B209" t="s">
        <v>85</v>
      </c>
      <c r="C209">
        <v>3</v>
      </c>
      <c r="D209">
        <v>13</v>
      </c>
      <c r="E209">
        <v>51</v>
      </c>
    </row>
    <row r="210" spans="1:5" x14ac:dyDescent="0.25">
      <c r="A210" t="s">
        <v>19</v>
      </c>
      <c r="B210" t="s">
        <v>86</v>
      </c>
      <c r="C210">
        <v>4</v>
      </c>
      <c r="D210">
        <v>2</v>
      </c>
      <c r="E210">
        <v>7</v>
      </c>
    </row>
    <row r="211" spans="1:5" x14ac:dyDescent="0.25">
      <c r="A211" t="s">
        <v>19</v>
      </c>
      <c r="B211" t="s">
        <v>79</v>
      </c>
      <c r="C211">
        <v>0</v>
      </c>
      <c r="D211">
        <v>9</v>
      </c>
      <c r="E211">
        <v>0</v>
      </c>
    </row>
    <row r="212" spans="1:5" x14ac:dyDescent="0.25">
      <c r="A212" t="s">
        <v>19</v>
      </c>
      <c r="B212" t="s">
        <v>92</v>
      </c>
      <c r="C212">
        <v>1</v>
      </c>
      <c r="D212">
        <v>5</v>
      </c>
      <c r="E212">
        <v>0</v>
      </c>
    </row>
    <row r="213" spans="1:5" x14ac:dyDescent="0.25">
      <c r="A213" t="s">
        <v>19</v>
      </c>
      <c r="B213" t="s">
        <v>63</v>
      </c>
      <c r="C213">
        <v>29</v>
      </c>
      <c r="D213">
        <v>121</v>
      </c>
      <c r="E213">
        <v>337</v>
      </c>
    </row>
    <row r="214" spans="1:5" x14ac:dyDescent="0.25">
      <c r="A214" t="s">
        <v>19</v>
      </c>
      <c r="B214" t="s">
        <v>76</v>
      </c>
      <c r="C214">
        <v>1</v>
      </c>
      <c r="D214">
        <v>14</v>
      </c>
      <c r="E214">
        <v>18</v>
      </c>
    </row>
    <row r="215" spans="1:5" x14ac:dyDescent="0.25">
      <c r="A215" t="s">
        <v>19</v>
      </c>
      <c r="B215" t="s">
        <v>80</v>
      </c>
      <c r="C215">
        <v>18</v>
      </c>
      <c r="D215">
        <v>8</v>
      </c>
      <c r="E215">
        <v>30</v>
      </c>
    </row>
    <row r="216" spans="1:5" x14ac:dyDescent="0.25">
      <c r="A216" t="s">
        <v>19</v>
      </c>
      <c r="B216" t="s">
        <v>87</v>
      </c>
      <c r="C216">
        <v>0</v>
      </c>
      <c r="D216">
        <v>10</v>
      </c>
      <c r="E216">
        <v>14</v>
      </c>
    </row>
    <row r="217" spans="1:5" x14ac:dyDescent="0.25">
      <c r="A217" t="s">
        <v>19</v>
      </c>
      <c r="B217" t="s">
        <v>88</v>
      </c>
      <c r="C217">
        <v>2</v>
      </c>
      <c r="D217">
        <v>9</v>
      </c>
      <c r="E217">
        <v>13</v>
      </c>
    </row>
    <row r="218" spans="1:5" x14ac:dyDescent="0.25">
      <c r="A218" t="s">
        <v>19</v>
      </c>
      <c r="B218" t="s">
        <v>81</v>
      </c>
      <c r="C218">
        <v>1</v>
      </c>
      <c r="D218">
        <v>12</v>
      </c>
      <c r="E218">
        <v>10</v>
      </c>
    </row>
    <row r="219" spans="1:5" x14ac:dyDescent="0.25">
      <c r="A219" t="s">
        <v>19</v>
      </c>
      <c r="B219" t="s">
        <v>74</v>
      </c>
      <c r="C219">
        <v>143</v>
      </c>
      <c r="D219">
        <v>70</v>
      </c>
      <c r="E219">
        <v>126</v>
      </c>
    </row>
    <row r="220" spans="1:5" x14ac:dyDescent="0.25">
      <c r="A220" t="s">
        <v>19</v>
      </c>
      <c r="B220" t="s">
        <v>93</v>
      </c>
      <c r="C220">
        <v>0</v>
      </c>
      <c r="D220">
        <v>3</v>
      </c>
      <c r="E220">
        <v>2</v>
      </c>
    </row>
    <row r="221" spans="1:5" x14ac:dyDescent="0.25">
      <c r="A221" t="s">
        <v>19</v>
      </c>
      <c r="B221" t="s">
        <v>89</v>
      </c>
      <c r="C221">
        <v>7</v>
      </c>
      <c r="D221">
        <v>18</v>
      </c>
      <c r="E221">
        <v>81</v>
      </c>
    </row>
    <row r="222" spans="1:5" x14ac:dyDescent="0.25">
      <c r="A222" t="s">
        <v>19</v>
      </c>
      <c r="B222" t="s">
        <v>94</v>
      </c>
      <c r="C222">
        <v>5</v>
      </c>
      <c r="D222">
        <v>6</v>
      </c>
      <c r="E222">
        <v>14</v>
      </c>
    </row>
    <row r="223" spans="1:5" x14ac:dyDescent="0.25">
      <c r="A223" t="s">
        <v>19</v>
      </c>
      <c r="B223" t="s">
        <v>77</v>
      </c>
      <c r="C223">
        <v>93</v>
      </c>
      <c r="D223">
        <v>16</v>
      </c>
      <c r="E223">
        <v>37</v>
      </c>
    </row>
    <row r="224" spans="1:5" x14ac:dyDescent="0.25">
      <c r="A224" t="s">
        <v>19</v>
      </c>
      <c r="B224" t="s">
        <v>90</v>
      </c>
      <c r="C224">
        <v>4</v>
      </c>
      <c r="D224">
        <v>2</v>
      </c>
      <c r="E224">
        <v>1</v>
      </c>
    </row>
    <row r="225" spans="1:5" x14ac:dyDescent="0.25">
      <c r="A225" t="s">
        <v>19</v>
      </c>
      <c r="B225" t="s">
        <v>78</v>
      </c>
      <c r="C225">
        <v>7</v>
      </c>
      <c r="D225">
        <v>2</v>
      </c>
      <c r="E225">
        <v>5</v>
      </c>
    </row>
    <row r="226" spans="1:5" x14ac:dyDescent="0.25">
      <c r="A226" t="s">
        <v>19</v>
      </c>
      <c r="B226" t="s">
        <v>91</v>
      </c>
      <c r="C226">
        <v>4</v>
      </c>
      <c r="D226">
        <v>0</v>
      </c>
      <c r="E226">
        <v>9</v>
      </c>
    </row>
    <row r="227" spans="1:5" x14ac:dyDescent="0.25">
      <c r="A227" t="s">
        <v>19</v>
      </c>
      <c r="B227" t="s">
        <v>75</v>
      </c>
      <c r="C227">
        <v>2</v>
      </c>
      <c r="D227">
        <v>0</v>
      </c>
      <c r="E227">
        <v>3</v>
      </c>
    </row>
    <row r="228" spans="1:5" x14ac:dyDescent="0.25">
      <c r="A228" t="s">
        <v>19</v>
      </c>
      <c r="B228" t="s">
        <v>65</v>
      </c>
      <c r="C228">
        <v>2</v>
      </c>
      <c r="D228">
        <v>0</v>
      </c>
      <c r="E228">
        <v>6</v>
      </c>
    </row>
    <row r="229" spans="1:5" x14ac:dyDescent="0.25">
      <c r="A229" t="s">
        <v>19</v>
      </c>
      <c r="B229" t="s">
        <v>82</v>
      </c>
      <c r="C229">
        <v>6</v>
      </c>
      <c r="D229">
        <v>0</v>
      </c>
      <c r="E229">
        <v>22</v>
      </c>
    </row>
    <row r="230" spans="1:5" x14ac:dyDescent="0.25">
      <c r="A230" t="s">
        <v>20</v>
      </c>
      <c r="B230" t="s">
        <v>64</v>
      </c>
      <c r="C230">
        <v>287</v>
      </c>
      <c r="D230">
        <v>29</v>
      </c>
      <c r="E230">
        <v>235</v>
      </c>
    </row>
    <row r="231" spans="1:5" x14ac:dyDescent="0.25">
      <c r="A231" t="s">
        <v>20</v>
      </c>
      <c r="B231" t="s">
        <v>83</v>
      </c>
      <c r="C231">
        <v>2</v>
      </c>
      <c r="D231">
        <v>13</v>
      </c>
      <c r="E231">
        <v>74</v>
      </c>
    </row>
    <row r="232" spans="1:5" x14ac:dyDescent="0.25">
      <c r="A232" t="s">
        <v>20</v>
      </c>
      <c r="B232" t="s">
        <v>84</v>
      </c>
      <c r="C232">
        <v>7</v>
      </c>
      <c r="D232">
        <v>11</v>
      </c>
      <c r="E232">
        <v>0</v>
      </c>
    </row>
    <row r="233" spans="1:5" x14ac:dyDescent="0.25">
      <c r="A233" t="s">
        <v>20</v>
      </c>
      <c r="B233" t="s">
        <v>85</v>
      </c>
      <c r="C233">
        <v>3</v>
      </c>
      <c r="D233">
        <v>14</v>
      </c>
      <c r="E233">
        <v>52</v>
      </c>
    </row>
    <row r="234" spans="1:5" x14ac:dyDescent="0.25">
      <c r="A234" t="s">
        <v>20</v>
      </c>
      <c r="B234" t="s">
        <v>86</v>
      </c>
      <c r="C234">
        <v>4</v>
      </c>
      <c r="D234">
        <v>2</v>
      </c>
      <c r="E234">
        <v>7</v>
      </c>
    </row>
    <row r="235" spans="1:5" x14ac:dyDescent="0.25">
      <c r="A235" t="s">
        <v>20</v>
      </c>
      <c r="B235" t="s">
        <v>79</v>
      </c>
      <c r="C235">
        <v>0</v>
      </c>
      <c r="D235">
        <v>9</v>
      </c>
      <c r="E235">
        <v>0</v>
      </c>
    </row>
    <row r="236" spans="1:5" x14ac:dyDescent="0.25">
      <c r="A236" t="s">
        <v>20</v>
      </c>
      <c r="B236" t="s">
        <v>92</v>
      </c>
      <c r="C236">
        <v>1</v>
      </c>
      <c r="D236">
        <v>5</v>
      </c>
      <c r="E236">
        <v>0</v>
      </c>
    </row>
    <row r="237" spans="1:5" x14ac:dyDescent="0.25">
      <c r="A237" t="s">
        <v>20</v>
      </c>
      <c r="B237" t="s">
        <v>63</v>
      </c>
      <c r="C237">
        <v>28</v>
      </c>
      <c r="D237">
        <v>124</v>
      </c>
      <c r="E237">
        <v>373</v>
      </c>
    </row>
    <row r="238" spans="1:5" x14ac:dyDescent="0.25">
      <c r="A238" t="s">
        <v>20</v>
      </c>
      <c r="B238" t="s">
        <v>76</v>
      </c>
      <c r="C238">
        <v>1</v>
      </c>
      <c r="D238">
        <v>16</v>
      </c>
      <c r="E238">
        <v>18</v>
      </c>
    </row>
    <row r="239" spans="1:5" x14ac:dyDescent="0.25">
      <c r="A239" t="s">
        <v>20</v>
      </c>
      <c r="B239" t="s">
        <v>80</v>
      </c>
      <c r="C239">
        <v>18</v>
      </c>
      <c r="D239">
        <v>10</v>
      </c>
      <c r="E239">
        <v>31</v>
      </c>
    </row>
    <row r="240" spans="1:5" x14ac:dyDescent="0.25">
      <c r="A240" t="s">
        <v>20</v>
      </c>
      <c r="B240" t="s">
        <v>87</v>
      </c>
      <c r="C240">
        <v>0</v>
      </c>
      <c r="D240">
        <v>12</v>
      </c>
      <c r="E240">
        <v>14</v>
      </c>
    </row>
    <row r="241" spans="1:5" x14ac:dyDescent="0.25">
      <c r="A241" t="s">
        <v>20</v>
      </c>
      <c r="B241" t="s">
        <v>88</v>
      </c>
      <c r="C241">
        <v>2</v>
      </c>
      <c r="D241">
        <v>9</v>
      </c>
      <c r="E241">
        <v>13</v>
      </c>
    </row>
    <row r="242" spans="1:5" x14ac:dyDescent="0.25">
      <c r="A242" t="s">
        <v>20</v>
      </c>
      <c r="B242" t="s">
        <v>81</v>
      </c>
      <c r="C242">
        <v>1</v>
      </c>
      <c r="D242">
        <v>14</v>
      </c>
      <c r="E242">
        <v>10</v>
      </c>
    </row>
    <row r="243" spans="1:5" x14ac:dyDescent="0.25">
      <c r="A243" t="s">
        <v>20</v>
      </c>
      <c r="B243" t="s">
        <v>74</v>
      </c>
      <c r="C243">
        <v>151</v>
      </c>
      <c r="D243">
        <v>70</v>
      </c>
      <c r="E243">
        <v>126</v>
      </c>
    </row>
    <row r="244" spans="1:5" x14ac:dyDescent="0.25">
      <c r="A244" t="s">
        <v>20</v>
      </c>
      <c r="B244" t="s">
        <v>95</v>
      </c>
      <c r="C244">
        <v>0</v>
      </c>
      <c r="D244">
        <v>7</v>
      </c>
      <c r="E244">
        <v>0</v>
      </c>
    </row>
    <row r="245" spans="1:5" x14ac:dyDescent="0.25">
      <c r="A245" t="s">
        <v>20</v>
      </c>
      <c r="B245" t="s">
        <v>93</v>
      </c>
      <c r="C245">
        <v>0</v>
      </c>
      <c r="D245">
        <v>3</v>
      </c>
      <c r="E245">
        <v>2</v>
      </c>
    </row>
    <row r="246" spans="1:5" x14ac:dyDescent="0.25">
      <c r="A246" t="s">
        <v>20</v>
      </c>
      <c r="B246" t="s">
        <v>89</v>
      </c>
      <c r="C246">
        <v>8</v>
      </c>
      <c r="D246">
        <v>18</v>
      </c>
      <c r="E246">
        <v>101</v>
      </c>
    </row>
    <row r="247" spans="1:5" x14ac:dyDescent="0.25">
      <c r="A247" t="s">
        <v>20</v>
      </c>
      <c r="B247" t="s">
        <v>94</v>
      </c>
      <c r="C247">
        <v>6</v>
      </c>
      <c r="D247">
        <v>6</v>
      </c>
      <c r="E247">
        <v>14</v>
      </c>
    </row>
    <row r="248" spans="1:5" x14ac:dyDescent="0.25">
      <c r="A248" t="s">
        <v>20</v>
      </c>
      <c r="B248" t="s">
        <v>77</v>
      </c>
      <c r="C248">
        <v>98</v>
      </c>
      <c r="D248">
        <v>16</v>
      </c>
      <c r="E248">
        <v>40</v>
      </c>
    </row>
    <row r="249" spans="1:5" x14ac:dyDescent="0.25">
      <c r="A249" t="s">
        <v>20</v>
      </c>
      <c r="B249" t="s">
        <v>90</v>
      </c>
      <c r="C249">
        <v>4</v>
      </c>
      <c r="D249">
        <v>2</v>
      </c>
      <c r="E249">
        <v>1</v>
      </c>
    </row>
    <row r="250" spans="1:5" x14ac:dyDescent="0.25">
      <c r="A250" t="s">
        <v>20</v>
      </c>
      <c r="B250" t="s">
        <v>78</v>
      </c>
      <c r="C250">
        <v>7</v>
      </c>
      <c r="D250">
        <v>2</v>
      </c>
      <c r="E250">
        <v>5</v>
      </c>
    </row>
    <row r="251" spans="1:5" x14ac:dyDescent="0.25">
      <c r="A251" t="s">
        <v>20</v>
      </c>
      <c r="B251" t="s">
        <v>91</v>
      </c>
      <c r="C251">
        <v>4</v>
      </c>
      <c r="D251">
        <v>0</v>
      </c>
      <c r="E251">
        <v>9</v>
      </c>
    </row>
    <row r="252" spans="1:5" x14ac:dyDescent="0.25">
      <c r="A252" t="s">
        <v>20</v>
      </c>
      <c r="B252" t="s">
        <v>75</v>
      </c>
      <c r="C252">
        <v>2</v>
      </c>
      <c r="D252">
        <v>0</v>
      </c>
      <c r="E252">
        <v>3</v>
      </c>
    </row>
    <row r="253" spans="1:5" x14ac:dyDescent="0.25">
      <c r="A253" t="s">
        <v>20</v>
      </c>
      <c r="B253" t="s">
        <v>65</v>
      </c>
      <c r="C253">
        <v>2</v>
      </c>
      <c r="D253">
        <v>0</v>
      </c>
      <c r="E253">
        <v>6</v>
      </c>
    </row>
    <row r="254" spans="1:5" x14ac:dyDescent="0.25">
      <c r="A254" t="s">
        <v>20</v>
      </c>
      <c r="B254" t="s">
        <v>82</v>
      </c>
      <c r="C254">
        <v>6</v>
      </c>
      <c r="D254">
        <v>0</v>
      </c>
      <c r="E254">
        <v>24</v>
      </c>
    </row>
    <row r="255" spans="1:5" x14ac:dyDescent="0.25">
      <c r="A255" t="s">
        <v>21</v>
      </c>
      <c r="B255" t="s">
        <v>64</v>
      </c>
      <c r="C255">
        <v>287</v>
      </c>
      <c r="D255">
        <v>29</v>
      </c>
      <c r="E255">
        <v>235</v>
      </c>
    </row>
    <row r="256" spans="1:5" x14ac:dyDescent="0.25">
      <c r="A256" t="s">
        <v>21</v>
      </c>
      <c r="B256" t="s">
        <v>83</v>
      </c>
      <c r="C256">
        <v>2</v>
      </c>
      <c r="D256">
        <v>13</v>
      </c>
      <c r="E256">
        <v>74</v>
      </c>
    </row>
    <row r="257" spans="1:5" x14ac:dyDescent="0.25">
      <c r="A257" t="s">
        <v>21</v>
      </c>
      <c r="B257" t="s">
        <v>84</v>
      </c>
      <c r="C257">
        <v>7</v>
      </c>
      <c r="D257">
        <v>11</v>
      </c>
      <c r="E257">
        <v>0</v>
      </c>
    </row>
    <row r="258" spans="1:5" x14ac:dyDescent="0.25">
      <c r="A258" t="s">
        <v>21</v>
      </c>
      <c r="B258" t="s">
        <v>85</v>
      </c>
      <c r="C258">
        <v>3</v>
      </c>
      <c r="D258">
        <v>14</v>
      </c>
      <c r="E258">
        <v>52</v>
      </c>
    </row>
    <row r="259" spans="1:5" x14ac:dyDescent="0.25">
      <c r="A259" t="s">
        <v>21</v>
      </c>
      <c r="B259" t="s">
        <v>86</v>
      </c>
      <c r="C259">
        <v>4</v>
      </c>
      <c r="D259">
        <v>2</v>
      </c>
      <c r="E259">
        <v>7</v>
      </c>
    </row>
    <row r="260" spans="1:5" x14ac:dyDescent="0.25">
      <c r="A260" t="s">
        <v>21</v>
      </c>
      <c r="B260" t="s">
        <v>79</v>
      </c>
      <c r="C260">
        <v>0</v>
      </c>
      <c r="D260">
        <v>9</v>
      </c>
      <c r="E260">
        <v>0</v>
      </c>
    </row>
    <row r="261" spans="1:5" x14ac:dyDescent="0.25">
      <c r="A261" t="s">
        <v>21</v>
      </c>
      <c r="B261" t="s">
        <v>92</v>
      </c>
      <c r="C261">
        <v>1</v>
      </c>
      <c r="D261">
        <v>5</v>
      </c>
      <c r="E261">
        <v>0</v>
      </c>
    </row>
    <row r="262" spans="1:5" x14ac:dyDescent="0.25">
      <c r="A262" t="s">
        <v>21</v>
      </c>
      <c r="B262" t="s">
        <v>63</v>
      </c>
      <c r="C262">
        <v>28</v>
      </c>
      <c r="D262">
        <v>124</v>
      </c>
      <c r="E262">
        <v>373</v>
      </c>
    </row>
    <row r="263" spans="1:5" x14ac:dyDescent="0.25">
      <c r="A263" t="s">
        <v>21</v>
      </c>
      <c r="B263" t="s">
        <v>76</v>
      </c>
      <c r="C263">
        <v>1</v>
      </c>
      <c r="D263">
        <v>16</v>
      </c>
      <c r="E263">
        <v>18</v>
      </c>
    </row>
    <row r="264" spans="1:5" x14ac:dyDescent="0.25">
      <c r="A264" t="s">
        <v>21</v>
      </c>
      <c r="B264" t="s">
        <v>80</v>
      </c>
      <c r="C264">
        <v>18</v>
      </c>
      <c r="D264">
        <v>10</v>
      </c>
      <c r="E264">
        <v>31</v>
      </c>
    </row>
    <row r="265" spans="1:5" x14ac:dyDescent="0.25">
      <c r="A265" t="s">
        <v>21</v>
      </c>
      <c r="B265" t="s">
        <v>87</v>
      </c>
      <c r="C265">
        <v>0</v>
      </c>
      <c r="D265">
        <v>12</v>
      </c>
      <c r="E265">
        <v>14</v>
      </c>
    </row>
    <row r="266" spans="1:5" x14ac:dyDescent="0.25">
      <c r="A266" t="s">
        <v>21</v>
      </c>
      <c r="B266" t="s">
        <v>88</v>
      </c>
      <c r="C266">
        <v>2</v>
      </c>
      <c r="D266">
        <v>9</v>
      </c>
      <c r="E266">
        <v>13</v>
      </c>
    </row>
    <row r="267" spans="1:5" x14ac:dyDescent="0.25">
      <c r="A267" t="s">
        <v>21</v>
      </c>
      <c r="B267" t="s">
        <v>81</v>
      </c>
      <c r="C267">
        <v>1</v>
      </c>
      <c r="D267">
        <v>14</v>
      </c>
      <c r="E267">
        <v>10</v>
      </c>
    </row>
    <row r="268" spans="1:5" x14ac:dyDescent="0.25">
      <c r="A268" t="s">
        <v>21</v>
      </c>
      <c r="B268" t="s">
        <v>74</v>
      </c>
      <c r="C268">
        <v>151</v>
      </c>
      <c r="D268">
        <v>70</v>
      </c>
      <c r="E268">
        <v>126</v>
      </c>
    </row>
    <row r="269" spans="1:5" x14ac:dyDescent="0.25">
      <c r="A269" t="s">
        <v>21</v>
      </c>
      <c r="B269" t="s">
        <v>95</v>
      </c>
      <c r="C269">
        <v>0</v>
      </c>
      <c r="D269">
        <v>7</v>
      </c>
      <c r="E269">
        <v>0</v>
      </c>
    </row>
    <row r="270" spans="1:5" x14ac:dyDescent="0.25">
      <c r="A270" t="s">
        <v>21</v>
      </c>
      <c r="B270" t="s">
        <v>93</v>
      </c>
      <c r="C270">
        <v>0</v>
      </c>
      <c r="D270">
        <v>3</v>
      </c>
      <c r="E270">
        <v>2</v>
      </c>
    </row>
    <row r="271" spans="1:5" x14ac:dyDescent="0.25">
      <c r="A271" t="s">
        <v>21</v>
      </c>
      <c r="B271" t="s">
        <v>89</v>
      </c>
      <c r="C271">
        <v>8</v>
      </c>
      <c r="D271">
        <v>18</v>
      </c>
      <c r="E271">
        <v>101</v>
      </c>
    </row>
    <row r="272" spans="1:5" x14ac:dyDescent="0.25">
      <c r="A272" t="s">
        <v>21</v>
      </c>
      <c r="B272" t="s">
        <v>94</v>
      </c>
      <c r="C272">
        <v>6</v>
      </c>
      <c r="D272">
        <v>6</v>
      </c>
      <c r="E272">
        <v>14</v>
      </c>
    </row>
    <row r="273" spans="1:5" x14ac:dyDescent="0.25">
      <c r="A273" t="s">
        <v>21</v>
      </c>
      <c r="B273" t="s">
        <v>77</v>
      </c>
      <c r="C273">
        <v>98</v>
      </c>
      <c r="D273">
        <v>16</v>
      </c>
      <c r="E273">
        <v>40</v>
      </c>
    </row>
    <row r="274" spans="1:5" x14ac:dyDescent="0.25">
      <c r="A274" t="s">
        <v>21</v>
      </c>
      <c r="B274" t="s">
        <v>90</v>
      </c>
      <c r="C274">
        <v>4</v>
      </c>
      <c r="D274">
        <v>2</v>
      </c>
      <c r="E274">
        <v>1</v>
      </c>
    </row>
    <row r="275" spans="1:5" x14ac:dyDescent="0.25">
      <c r="A275" t="s">
        <v>21</v>
      </c>
      <c r="B275" t="s">
        <v>78</v>
      </c>
      <c r="C275">
        <v>7</v>
      </c>
      <c r="D275">
        <v>2</v>
      </c>
      <c r="E275">
        <v>5</v>
      </c>
    </row>
    <row r="276" spans="1:5" x14ac:dyDescent="0.25">
      <c r="A276" t="s">
        <v>21</v>
      </c>
      <c r="B276" t="s">
        <v>91</v>
      </c>
      <c r="C276">
        <v>4</v>
      </c>
      <c r="D276">
        <v>0</v>
      </c>
      <c r="E276">
        <v>9</v>
      </c>
    </row>
    <row r="277" spans="1:5" x14ac:dyDescent="0.25">
      <c r="A277" t="s">
        <v>21</v>
      </c>
      <c r="B277" t="s">
        <v>75</v>
      </c>
      <c r="C277">
        <v>2</v>
      </c>
      <c r="D277">
        <v>0</v>
      </c>
      <c r="E277">
        <v>3</v>
      </c>
    </row>
    <row r="278" spans="1:5" x14ac:dyDescent="0.25">
      <c r="A278" t="s">
        <v>21</v>
      </c>
      <c r="B278" t="s">
        <v>65</v>
      </c>
      <c r="C278">
        <v>2</v>
      </c>
      <c r="D278">
        <v>0</v>
      </c>
      <c r="E278">
        <v>6</v>
      </c>
    </row>
    <row r="279" spans="1:5" x14ac:dyDescent="0.25">
      <c r="A279" t="s">
        <v>21</v>
      </c>
      <c r="B279" t="s">
        <v>82</v>
      </c>
      <c r="C279">
        <v>6</v>
      </c>
      <c r="D279">
        <v>0</v>
      </c>
      <c r="E279">
        <v>24</v>
      </c>
    </row>
    <row r="280" spans="1:5" x14ac:dyDescent="0.25">
      <c r="A280" t="s">
        <v>22</v>
      </c>
      <c r="B280" t="s">
        <v>64</v>
      </c>
      <c r="C280">
        <v>287</v>
      </c>
      <c r="D280">
        <v>29</v>
      </c>
      <c r="E280">
        <v>235</v>
      </c>
    </row>
    <row r="281" spans="1:5" x14ac:dyDescent="0.25">
      <c r="A281" t="s">
        <v>22</v>
      </c>
      <c r="B281" t="s">
        <v>83</v>
      </c>
      <c r="C281">
        <v>2</v>
      </c>
      <c r="D281">
        <v>13</v>
      </c>
      <c r="E281">
        <v>74</v>
      </c>
    </row>
    <row r="282" spans="1:5" x14ac:dyDescent="0.25">
      <c r="A282" t="s">
        <v>22</v>
      </c>
      <c r="B282" t="s">
        <v>84</v>
      </c>
      <c r="C282">
        <v>7</v>
      </c>
      <c r="D282">
        <v>11</v>
      </c>
      <c r="E282">
        <v>0</v>
      </c>
    </row>
    <row r="283" spans="1:5" x14ac:dyDescent="0.25">
      <c r="A283" t="s">
        <v>22</v>
      </c>
      <c r="B283" t="s">
        <v>85</v>
      </c>
      <c r="C283">
        <v>3</v>
      </c>
      <c r="D283">
        <v>14</v>
      </c>
      <c r="E283">
        <v>52</v>
      </c>
    </row>
    <row r="284" spans="1:5" x14ac:dyDescent="0.25">
      <c r="A284" t="s">
        <v>22</v>
      </c>
      <c r="B284" t="s">
        <v>86</v>
      </c>
      <c r="C284">
        <v>4</v>
      </c>
      <c r="D284">
        <v>2</v>
      </c>
      <c r="E284">
        <v>7</v>
      </c>
    </row>
    <row r="285" spans="1:5" x14ac:dyDescent="0.25">
      <c r="A285" t="s">
        <v>22</v>
      </c>
      <c r="B285" t="s">
        <v>79</v>
      </c>
      <c r="C285">
        <v>0</v>
      </c>
      <c r="D285">
        <v>9</v>
      </c>
      <c r="E285">
        <v>0</v>
      </c>
    </row>
    <row r="286" spans="1:5" x14ac:dyDescent="0.25">
      <c r="A286" t="s">
        <v>22</v>
      </c>
      <c r="B286" t="s">
        <v>92</v>
      </c>
      <c r="C286">
        <v>1</v>
      </c>
      <c r="D286">
        <v>5</v>
      </c>
      <c r="E286">
        <v>0</v>
      </c>
    </row>
    <row r="287" spans="1:5" x14ac:dyDescent="0.25">
      <c r="A287" t="s">
        <v>22</v>
      </c>
      <c r="B287" t="s">
        <v>63</v>
      </c>
      <c r="C287">
        <v>28</v>
      </c>
      <c r="D287">
        <v>124</v>
      </c>
      <c r="E287">
        <v>373</v>
      </c>
    </row>
    <row r="288" spans="1:5" x14ac:dyDescent="0.25">
      <c r="A288" t="s">
        <v>22</v>
      </c>
      <c r="B288" t="s">
        <v>76</v>
      </c>
      <c r="C288">
        <v>1</v>
      </c>
      <c r="D288">
        <v>16</v>
      </c>
      <c r="E288">
        <v>18</v>
      </c>
    </row>
    <row r="289" spans="1:5" x14ac:dyDescent="0.25">
      <c r="A289" t="s">
        <v>22</v>
      </c>
      <c r="B289" t="s">
        <v>80</v>
      </c>
      <c r="C289">
        <v>18</v>
      </c>
      <c r="D289">
        <v>10</v>
      </c>
      <c r="E289">
        <v>31</v>
      </c>
    </row>
    <row r="290" spans="1:5" x14ac:dyDescent="0.25">
      <c r="A290" t="s">
        <v>22</v>
      </c>
      <c r="B290" t="s">
        <v>87</v>
      </c>
      <c r="C290">
        <v>0</v>
      </c>
      <c r="D290">
        <v>12</v>
      </c>
      <c r="E290">
        <v>14</v>
      </c>
    </row>
    <row r="291" spans="1:5" x14ac:dyDescent="0.25">
      <c r="A291" t="s">
        <v>22</v>
      </c>
      <c r="B291" t="s">
        <v>88</v>
      </c>
      <c r="C291">
        <v>2</v>
      </c>
      <c r="D291">
        <v>9</v>
      </c>
      <c r="E291">
        <v>13</v>
      </c>
    </row>
    <row r="292" spans="1:5" x14ac:dyDescent="0.25">
      <c r="A292" t="s">
        <v>22</v>
      </c>
      <c r="B292" t="s">
        <v>81</v>
      </c>
      <c r="C292">
        <v>1</v>
      </c>
      <c r="D292">
        <v>14</v>
      </c>
      <c r="E292">
        <v>10</v>
      </c>
    </row>
    <row r="293" spans="1:5" x14ac:dyDescent="0.25">
      <c r="A293" t="s">
        <v>22</v>
      </c>
      <c r="B293" t="s">
        <v>74</v>
      </c>
      <c r="C293">
        <v>151</v>
      </c>
      <c r="D293">
        <v>70</v>
      </c>
      <c r="E293">
        <v>126</v>
      </c>
    </row>
    <row r="294" spans="1:5" x14ac:dyDescent="0.25">
      <c r="A294" t="s">
        <v>22</v>
      </c>
      <c r="B294" t="s">
        <v>95</v>
      </c>
      <c r="C294">
        <v>0</v>
      </c>
      <c r="D294">
        <v>7</v>
      </c>
      <c r="E294">
        <v>0</v>
      </c>
    </row>
    <row r="295" spans="1:5" x14ac:dyDescent="0.25">
      <c r="A295" t="s">
        <v>22</v>
      </c>
      <c r="B295" t="s">
        <v>93</v>
      </c>
      <c r="C295">
        <v>0</v>
      </c>
      <c r="D295">
        <v>3</v>
      </c>
      <c r="E295">
        <v>2</v>
      </c>
    </row>
    <row r="296" spans="1:5" x14ac:dyDescent="0.25">
      <c r="A296" t="s">
        <v>22</v>
      </c>
      <c r="B296" t="s">
        <v>89</v>
      </c>
      <c r="C296">
        <v>8</v>
      </c>
      <c r="D296">
        <v>18</v>
      </c>
      <c r="E296">
        <v>101</v>
      </c>
    </row>
    <row r="297" spans="1:5" x14ac:dyDescent="0.25">
      <c r="A297" t="s">
        <v>22</v>
      </c>
      <c r="B297" t="s">
        <v>94</v>
      </c>
      <c r="C297">
        <v>6</v>
      </c>
      <c r="D297">
        <v>6</v>
      </c>
      <c r="E297">
        <v>14</v>
      </c>
    </row>
    <row r="298" spans="1:5" x14ac:dyDescent="0.25">
      <c r="A298" t="s">
        <v>22</v>
      </c>
      <c r="B298" t="s">
        <v>77</v>
      </c>
      <c r="C298">
        <v>98</v>
      </c>
      <c r="D298">
        <v>16</v>
      </c>
      <c r="E298">
        <v>40</v>
      </c>
    </row>
    <row r="299" spans="1:5" x14ac:dyDescent="0.25">
      <c r="A299" t="s">
        <v>22</v>
      </c>
      <c r="B299" t="s">
        <v>90</v>
      </c>
      <c r="C299">
        <v>4</v>
      </c>
      <c r="D299">
        <v>2</v>
      </c>
      <c r="E299">
        <v>1</v>
      </c>
    </row>
    <row r="300" spans="1:5" x14ac:dyDescent="0.25">
      <c r="A300" t="s">
        <v>22</v>
      </c>
      <c r="B300" t="s">
        <v>78</v>
      </c>
      <c r="C300">
        <v>7</v>
      </c>
      <c r="D300">
        <v>2</v>
      </c>
      <c r="E300">
        <v>5</v>
      </c>
    </row>
    <row r="301" spans="1:5" x14ac:dyDescent="0.25">
      <c r="A301" t="s">
        <v>22</v>
      </c>
      <c r="B301" t="s">
        <v>91</v>
      </c>
      <c r="C301">
        <v>4</v>
      </c>
      <c r="D301">
        <v>0</v>
      </c>
      <c r="E301">
        <v>9</v>
      </c>
    </row>
    <row r="302" spans="1:5" x14ac:dyDescent="0.25">
      <c r="A302" t="s">
        <v>22</v>
      </c>
      <c r="B302" t="s">
        <v>75</v>
      </c>
      <c r="C302">
        <v>2</v>
      </c>
      <c r="D302">
        <v>0</v>
      </c>
      <c r="E302">
        <v>3</v>
      </c>
    </row>
    <row r="303" spans="1:5" x14ac:dyDescent="0.25">
      <c r="A303" t="s">
        <v>22</v>
      </c>
      <c r="B303" t="s">
        <v>65</v>
      </c>
      <c r="C303">
        <v>2</v>
      </c>
      <c r="D303">
        <v>0</v>
      </c>
      <c r="E303">
        <v>6</v>
      </c>
    </row>
    <row r="304" spans="1:5" x14ac:dyDescent="0.25">
      <c r="A304" t="s">
        <v>22</v>
      </c>
      <c r="B304" t="s">
        <v>82</v>
      </c>
      <c r="C304">
        <v>6</v>
      </c>
      <c r="D304">
        <v>0</v>
      </c>
      <c r="E304">
        <v>24</v>
      </c>
    </row>
    <row r="305" spans="1:5" x14ac:dyDescent="0.25">
      <c r="A305" t="s">
        <v>23</v>
      </c>
      <c r="B305" t="s">
        <v>64</v>
      </c>
      <c r="C305">
        <v>367</v>
      </c>
      <c r="D305">
        <v>36</v>
      </c>
      <c r="E305">
        <v>246</v>
      </c>
    </row>
    <row r="306" spans="1:5" x14ac:dyDescent="0.25">
      <c r="A306" t="s">
        <v>23</v>
      </c>
      <c r="B306" t="s">
        <v>96</v>
      </c>
      <c r="C306">
        <v>2</v>
      </c>
      <c r="D306">
        <v>3</v>
      </c>
      <c r="E306">
        <v>2</v>
      </c>
    </row>
    <row r="307" spans="1:5" x14ac:dyDescent="0.25">
      <c r="A307" t="s">
        <v>23</v>
      </c>
      <c r="B307" t="s">
        <v>83</v>
      </c>
      <c r="C307">
        <v>6</v>
      </c>
      <c r="D307">
        <v>17</v>
      </c>
      <c r="E307">
        <v>100</v>
      </c>
    </row>
    <row r="308" spans="1:5" x14ac:dyDescent="0.25">
      <c r="A308" t="s">
        <v>23</v>
      </c>
      <c r="B308" t="s">
        <v>84</v>
      </c>
      <c r="C308">
        <v>6</v>
      </c>
      <c r="D308">
        <v>11</v>
      </c>
      <c r="E308">
        <v>0</v>
      </c>
    </row>
    <row r="309" spans="1:5" x14ac:dyDescent="0.25">
      <c r="A309" t="s">
        <v>23</v>
      </c>
      <c r="B309" t="s">
        <v>85</v>
      </c>
      <c r="C309">
        <v>3</v>
      </c>
      <c r="D309">
        <v>14</v>
      </c>
      <c r="E309">
        <v>52</v>
      </c>
    </row>
    <row r="310" spans="1:5" x14ac:dyDescent="0.25">
      <c r="A310" t="s">
        <v>23</v>
      </c>
      <c r="B310" t="s">
        <v>86</v>
      </c>
      <c r="C310">
        <v>6</v>
      </c>
      <c r="D310">
        <v>3</v>
      </c>
      <c r="E310">
        <v>9</v>
      </c>
    </row>
    <row r="311" spans="1:5" x14ac:dyDescent="0.25">
      <c r="A311" t="s">
        <v>23</v>
      </c>
      <c r="B311" t="s">
        <v>79</v>
      </c>
      <c r="C311">
        <v>0</v>
      </c>
      <c r="D311">
        <v>11</v>
      </c>
      <c r="E311">
        <v>0</v>
      </c>
    </row>
    <row r="312" spans="1:5" x14ac:dyDescent="0.25">
      <c r="A312" t="s">
        <v>23</v>
      </c>
      <c r="B312" t="s">
        <v>92</v>
      </c>
      <c r="C312">
        <v>0</v>
      </c>
      <c r="D312">
        <v>1</v>
      </c>
      <c r="E312">
        <v>0</v>
      </c>
    </row>
    <row r="313" spans="1:5" x14ac:dyDescent="0.25">
      <c r="A313" t="s">
        <v>23</v>
      </c>
      <c r="B313" t="s">
        <v>63</v>
      </c>
      <c r="C313">
        <v>32</v>
      </c>
      <c r="D313">
        <v>166</v>
      </c>
      <c r="E313">
        <v>439</v>
      </c>
    </row>
    <row r="314" spans="1:5" x14ac:dyDescent="0.25">
      <c r="A314" t="s">
        <v>23</v>
      </c>
      <c r="B314" t="s">
        <v>76</v>
      </c>
      <c r="C314">
        <v>1</v>
      </c>
      <c r="D314">
        <v>21</v>
      </c>
      <c r="E314">
        <v>21</v>
      </c>
    </row>
    <row r="315" spans="1:5" x14ac:dyDescent="0.25">
      <c r="A315" t="s">
        <v>23</v>
      </c>
      <c r="B315" t="s">
        <v>80</v>
      </c>
      <c r="C315">
        <v>26</v>
      </c>
      <c r="D315">
        <v>31</v>
      </c>
      <c r="E315">
        <v>44</v>
      </c>
    </row>
    <row r="316" spans="1:5" x14ac:dyDescent="0.25">
      <c r="A316" t="s">
        <v>23</v>
      </c>
      <c r="B316" t="s">
        <v>87</v>
      </c>
      <c r="C316">
        <v>0</v>
      </c>
      <c r="D316">
        <v>11</v>
      </c>
      <c r="E316">
        <v>14</v>
      </c>
    </row>
    <row r="317" spans="1:5" x14ac:dyDescent="0.25">
      <c r="A317" t="s">
        <v>23</v>
      </c>
      <c r="B317" t="s">
        <v>88</v>
      </c>
      <c r="C317">
        <v>2</v>
      </c>
      <c r="D317">
        <v>13</v>
      </c>
      <c r="E317">
        <v>14</v>
      </c>
    </row>
    <row r="318" spans="1:5" x14ac:dyDescent="0.25">
      <c r="A318" t="s">
        <v>23</v>
      </c>
      <c r="B318" t="s">
        <v>81</v>
      </c>
      <c r="C318">
        <v>1</v>
      </c>
      <c r="D318">
        <v>18</v>
      </c>
      <c r="E318">
        <v>14</v>
      </c>
    </row>
    <row r="319" spans="1:5" x14ac:dyDescent="0.25">
      <c r="A319" t="s">
        <v>23</v>
      </c>
      <c r="B319" t="s">
        <v>74</v>
      </c>
      <c r="C319">
        <v>248</v>
      </c>
      <c r="D319">
        <v>81</v>
      </c>
      <c r="E319">
        <v>185</v>
      </c>
    </row>
    <row r="320" spans="1:5" x14ac:dyDescent="0.25">
      <c r="A320" t="s">
        <v>23</v>
      </c>
      <c r="B320" t="s">
        <v>95</v>
      </c>
      <c r="C320">
        <v>0</v>
      </c>
      <c r="D320">
        <v>7</v>
      </c>
      <c r="E320">
        <v>0</v>
      </c>
    </row>
    <row r="321" spans="1:5" x14ac:dyDescent="0.25">
      <c r="A321" t="s">
        <v>23</v>
      </c>
      <c r="B321" t="s">
        <v>97</v>
      </c>
      <c r="C321">
        <v>52</v>
      </c>
      <c r="D321">
        <v>31</v>
      </c>
      <c r="E321">
        <v>60</v>
      </c>
    </row>
    <row r="322" spans="1:5" x14ac:dyDescent="0.25">
      <c r="A322" t="s">
        <v>23</v>
      </c>
      <c r="B322" t="s">
        <v>98</v>
      </c>
      <c r="C322">
        <v>7</v>
      </c>
      <c r="D322">
        <v>7</v>
      </c>
      <c r="E322">
        <v>9</v>
      </c>
    </row>
    <row r="323" spans="1:5" x14ac:dyDescent="0.25">
      <c r="A323" t="s">
        <v>23</v>
      </c>
      <c r="B323" t="s">
        <v>99</v>
      </c>
      <c r="C323">
        <v>12</v>
      </c>
      <c r="D323">
        <v>17</v>
      </c>
      <c r="E323">
        <v>19</v>
      </c>
    </row>
    <row r="324" spans="1:5" x14ac:dyDescent="0.25">
      <c r="A324" t="s">
        <v>23</v>
      </c>
      <c r="B324" t="s">
        <v>89</v>
      </c>
      <c r="C324">
        <v>12</v>
      </c>
      <c r="D324">
        <v>22</v>
      </c>
      <c r="E324">
        <v>103</v>
      </c>
    </row>
    <row r="325" spans="1:5" x14ac:dyDescent="0.25">
      <c r="A325" t="s">
        <v>23</v>
      </c>
      <c r="B325" t="s">
        <v>94</v>
      </c>
      <c r="C325">
        <v>6</v>
      </c>
      <c r="D325">
        <v>15</v>
      </c>
      <c r="E325">
        <v>17</v>
      </c>
    </row>
    <row r="326" spans="1:5" x14ac:dyDescent="0.25">
      <c r="A326" t="s">
        <v>23</v>
      </c>
      <c r="B326" t="s">
        <v>100</v>
      </c>
      <c r="C326">
        <v>1</v>
      </c>
      <c r="D326">
        <v>3</v>
      </c>
      <c r="E326">
        <v>1</v>
      </c>
    </row>
    <row r="327" spans="1:5" x14ac:dyDescent="0.25">
      <c r="A327" t="s">
        <v>23</v>
      </c>
      <c r="B327" t="s">
        <v>77</v>
      </c>
      <c r="C327">
        <v>159</v>
      </c>
      <c r="D327">
        <v>33</v>
      </c>
      <c r="E327">
        <v>70</v>
      </c>
    </row>
    <row r="328" spans="1:5" x14ac:dyDescent="0.25">
      <c r="A328" t="s">
        <v>23</v>
      </c>
      <c r="B328" t="s">
        <v>90</v>
      </c>
      <c r="C328">
        <v>4</v>
      </c>
      <c r="D328">
        <v>2</v>
      </c>
      <c r="E328">
        <v>1</v>
      </c>
    </row>
    <row r="329" spans="1:5" x14ac:dyDescent="0.25">
      <c r="A329" t="s">
        <v>23</v>
      </c>
      <c r="B329" t="s">
        <v>78</v>
      </c>
      <c r="C329">
        <v>8</v>
      </c>
      <c r="D329">
        <v>4</v>
      </c>
      <c r="E329">
        <v>5</v>
      </c>
    </row>
    <row r="330" spans="1:5" x14ac:dyDescent="0.25">
      <c r="A330" t="s">
        <v>23</v>
      </c>
      <c r="B330" t="s">
        <v>91</v>
      </c>
      <c r="C330">
        <v>5</v>
      </c>
      <c r="D330">
        <v>0</v>
      </c>
      <c r="E330">
        <v>8</v>
      </c>
    </row>
    <row r="331" spans="1:5" x14ac:dyDescent="0.25">
      <c r="A331" t="s">
        <v>23</v>
      </c>
      <c r="B331" t="s">
        <v>75</v>
      </c>
      <c r="C331">
        <v>2</v>
      </c>
      <c r="D331">
        <v>0</v>
      </c>
      <c r="E331">
        <v>3</v>
      </c>
    </row>
    <row r="332" spans="1:5" x14ac:dyDescent="0.25">
      <c r="A332" t="s">
        <v>23</v>
      </c>
      <c r="B332" t="s">
        <v>65</v>
      </c>
      <c r="C332">
        <v>4</v>
      </c>
      <c r="D332">
        <v>0</v>
      </c>
      <c r="E332">
        <v>6</v>
      </c>
    </row>
    <row r="333" spans="1:5" x14ac:dyDescent="0.25">
      <c r="A333" t="s">
        <v>23</v>
      </c>
      <c r="B333" t="s">
        <v>82</v>
      </c>
      <c r="C333">
        <v>9</v>
      </c>
      <c r="D333">
        <v>0</v>
      </c>
      <c r="E333">
        <v>29</v>
      </c>
    </row>
    <row r="334" spans="1:5" x14ac:dyDescent="0.25">
      <c r="A334" t="s">
        <v>24</v>
      </c>
      <c r="B334" t="s">
        <v>64</v>
      </c>
      <c r="C334">
        <v>377</v>
      </c>
      <c r="D334">
        <v>36</v>
      </c>
      <c r="E334">
        <v>252</v>
      </c>
    </row>
    <row r="335" spans="1:5" x14ac:dyDescent="0.25">
      <c r="A335" t="s">
        <v>24</v>
      </c>
      <c r="B335" t="s">
        <v>96</v>
      </c>
      <c r="C335">
        <v>2</v>
      </c>
      <c r="D335">
        <v>3</v>
      </c>
      <c r="E335">
        <v>2</v>
      </c>
    </row>
    <row r="336" spans="1:5" x14ac:dyDescent="0.25">
      <c r="A336" t="s">
        <v>24</v>
      </c>
      <c r="B336" t="s">
        <v>83</v>
      </c>
      <c r="C336">
        <v>6</v>
      </c>
      <c r="D336">
        <v>17</v>
      </c>
      <c r="E336">
        <v>100</v>
      </c>
    </row>
    <row r="337" spans="1:5" x14ac:dyDescent="0.25">
      <c r="A337" t="s">
        <v>24</v>
      </c>
      <c r="B337" t="s">
        <v>84</v>
      </c>
      <c r="C337">
        <v>6</v>
      </c>
      <c r="D337">
        <v>11</v>
      </c>
      <c r="E337">
        <v>0</v>
      </c>
    </row>
    <row r="338" spans="1:5" x14ac:dyDescent="0.25">
      <c r="A338" t="s">
        <v>24</v>
      </c>
      <c r="B338" t="s">
        <v>85</v>
      </c>
      <c r="C338">
        <v>3</v>
      </c>
      <c r="D338">
        <v>15</v>
      </c>
      <c r="E338">
        <v>53</v>
      </c>
    </row>
    <row r="339" spans="1:5" x14ac:dyDescent="0.25">
      <c r="A339" t="s">
        <v>24</v>
      </c>
      <c r="B339" t="s">
        <v>86</v>
      </c>
      <c r="C339">
        <v>6</v>
      </c>
      <c r="D339">
        <v>4</v>
      </c>
      <c r="E339">
        <v>11</v>
      </c>
    </row>
    <row r="340" spans="1:5" x14ac:dyDescent="0.25">
      <c r="A340" t="s">
        <v>24</v>
      </c>
      <c r="B340" t="s">
        <v>79</v>
      </c>
      <c r="C340">
        <v>0</v>
      </c>
      <c r="D340">
        <v>14</v>
      </c>
      <c r="E340">
        <v>5</v>
      </c>
    </row>
    <row r="341" spans="1:5" x14ac:dyDescent="0.25">
      <c r="A341" t="s">
        <v>24</v>
      </c>
      <c r="B341" t="s">
        <v>92</v>
      </c>
      <c r="C341">
        <v>0</v>
      </c>
      <c r="D341">
        <v>1</v>
      </c>
      <c r="E341">
        <v>0</v>
      </c>
    </row>
    <row r="342" spans="1:5" x14ac:dyDescent="0.25">
      <c r="A342" t="s">
        <v>24</v>
      </c>
      <c r="B342" t="s">
        <v>63</v>
      </c>
      <c r="C342">
        <v>32</v>
      </c>
      <c r="D342">
        <v>166</v>
      </c>
      <c r="E342">
        <v>444</v>
      </c>
    </row>
    <row r="343" spans="1:5" x14ac:dyDescent="0.25">
      <c r="A343" t="s">
        <v>24</v>
      </c>
      <c r="B343" t="s">
        <v>76</v>
      </c>
      <c r="C343">
        <v>1</v>
      </c>
      <c r="D343">
        <v>21</v>
      </c>
      <c r="E343">
        <v>21</v>
      </c>
    </row>
    <row r="344" spans="1:5" x14ac:dyDescent="0.25">
      <c r="A344" t="s">
        <v>24</v>
      </c>
      <c r="B344" t="s">
        <v>80</v>
      </c>
      <c r="C344">
        <v>26</v>
      </c>
      <c r="D344">
        <v>33</v>
      </c>
      <c r="E344">
        <v>45</v>
      </c>
    </row>
    <row r="345" spans="1:5" x14ac:dyDescent="0.25">
      <c r="A345" t="s">
        <v>24</v>
      </c>
      <c r="B345" t="s">
        <v>87</v>
      </c>
      <c r="C345">
        <v>0</v>
      </c>
      <c r="D345">
        <v>11</v>
      </c>
      <c r="E345">
        <v>14</v>
      </c>
    </row>
    <row r="346" spans="1:5" x14ac:dyDescent="0.25">
      <c r="A346" t="s">
        <v>24</v>
      </c>
      <c r="B346" t="s">
        <v>88</v>
      </c>
      <c r="C346">
        <v>2</v>
      </c>
      <c r="D346">
        <v>13</v>
      </c>
      <c r="E346">
        <v>14</v>
      </c>
    </row>
    <row r="347" spans="1:5" x14ac:dyDescent="0.25">
      <c r="A347" t="s">
        <v>24</v>
      </c>
      <c r="B347" t="s">
        <v>81</v>
      </c>
      <c r="C347">
        <v>1</v>
      </c>
      <c r="D347">
        <v>19</v>
      </c>
      <c r="E347">
        <v>14</v>
      </c>
    </row>
    <row r="348" spans="1:5" x14ac:dyDescent="0.25">
      <c r="A348" t="s">
        <v>24</v>
      </c>
      <c r="B348" t="s">
        <v>74</v>
      </c>
      <c r="C348">
        <v>252</v>
      </c>
      <c r="D348">
        <v>81</v>
      </c>
      <c r="E348">
        <v>190</v>
      </c>
    </row>
    <row r="349" spans="1:5" x14ac:dyDescent="0.25">
      <c r="A349" t="s">
        <v>24</v>
      </c>
      <c r="B349" t="s">
        <v>95</v>
      </c>
      <c r="C349">
        <v>0</v>
      </c>
      <c r="D349">
        <v>7</v>
      </c>
      <c r="E349">
        <v>0</v>
      </c>
    </row>
    <row r="350" spans="1:5" x14ac:dyDescent="0.25">
      <c r="A350" t="s">
        <v>24</v>
      </c>
      <c r="B350" t="s">
        <v>97</v>
      </c>
      <c r="C350">
        <v>56</v>
      </c>
      <c r="D350">
        <v>31</v>
      </c>
      <c r="E350">
        <v>62</v>
      </c>
    </row>
    <row r="351" spans="1:5" x14ac:dyDescent="0.25">
      <c r="A351" t="s">
        <v>24</v>
      </c>
      <c r="B351" t="s">
        <v>98</v>
      </c>
      <c r="C351">
        <v>4</v>
      </c>
      <c r="D351">
        <v>7</v>
      </c>
      <c r="E351">
        <v>9</v>
      </c>
    </row>
    <row r="352" spans="1:5" x14ac:dyDescent="0.25">
      <c r="A352" t="s">
        <v>24</v>
      </c>
      <c r="B352" t="s">
        <v>99</v>
      </c>
      <c r="C352">
        <v>12</v>
      </c>
      <c r="D352">
        <v>17</v>
      </c>
      <c r="E352">
        <v>19</v>
      </c>
    </row>
    <row r="353" spans="1:5" x14ac:dyDescent="0.25">
      <c r="A353" t="s">
        <v>24</v>
      </c>
      <c r="B353" t="s">
        <v>89</v>
      </c>
      <c r="C353">
        <v>12</v>
      </c>
      <c r="D353">
        <v>22</v>
      </c>
      <c r="E353">
        <v>103</v>
      </c>
    </row>
    <row r="354" spans="1:5" x14ac:dyDescent="0.25">
      <c r="A354" t="s">
        <v>24</v>
      </c>
      <c r="B354" t="s">
        <v>94</v>
      </c>
      <c r="C354">
        <v>6</v>
      </c>
      <c r="D354">
        <v>15</v>
      </c>
      <c r="E354">
        <v>17</v>
      </c>
    </row>
    <row r="355" spans="1:5" x14ac:dyDescent="0.25">
      <c r="A355" t="s">
        <v>24</v>
      </c>
      <c r="B355" t="s">
        <v>100</v>
      </c>
      <c r="C355">
        <v>1</v>
      </c>
      <c r="D355">
        <v>3</v>
      </c>
      <c r="E355">
        <v>1</v>
      </c>
    </row>
    <row r="356" spans="1:5" x14ac:dyDescent="0.25">
      <c r="A356" t="s">
        <v>24</v>
      </c>
      <c r="B356" t="s">
        <v>77</v>
      </c>
      <c r="C356">
        <v>170</v>
      </c>
      <c r="D356">
        <v>30</v>
      </c>
      <c r="E356">
        <v>72</v>
      </c>
    </row>
    <row r="357" spans="1:5" x14ac:dyDescent="0.25">
      <c r="A357" t="s">
        <v>24</v>
      </c>
      <c r="B357" t="s">
        <v>90</v>
      </c>
      <c r="C357">
        <v>4</v>
      </c>
      <c r="D357">
        <v>2</v>
      </c>
      <c r="E357">
        <v>1</v>
      </c>
    </row>
    <row r="358" spans="1:5" x14ac:dyDescent="0.25">
      <c r="A358" t="s">
        <v>24</v>
      </c>
      <c r="B358" t="s">
        <v>78</v>
      </c>
      <c r="C358">
        <v>8</v>
      </c>
      <c r="D358">
        <v>4</v>
      </c>
      <c r="E358">
        <v>4</v>
      </c>
    </row>
    <row r="359" spans="1:5" x14ac:dyDescent="0.25">
      <c r="A359" t="s">
        <v>24</v>
      </c>
      <c r="B359" t="s">
        <v>91</v>
      </c>
      <c r="C359">
        <v>5</v>
      </c>
      <c r="D359">
        <v>0</v>
      </c>
      <c r="E359">
        <v>11</v>
      </c>
    </row>
    <row r="360" spans="1:5" x14ac:dyDescent="0.25">
      <c r="A360" t="s">
        <v>24</v>
      </c>
      <c r="B360" t="s">
        <v>75</v>
      </c>
      <c r="C360">
        <v>2</v>
      </c>
      <c r="D360">
        <v>0</v>
      </c>
      <c r="E360">
        <v>3</v>
      </c>
    </row>
    <row r="361" spans="1:5" x14ac:dyDescent="0.25">
      <c r="A361" t="s">
        <v>24</v>
      </c>
      <c r="B361" t="s">
        <v>65</v>
      </c>
      <c r="C361">
        <v>4</v>
      </c>
      <c r="D361">
        <v>0</v>
      </c>
      <c r="E361">
        <v>6</v>
      </c>
    </row>
    <row r="362" spans="1:5" x14ac:dyDescent="0.25">
      <c r="A362" t="s">
        <v>24</v>
      </c>
      <c r="B362" t="s">
        <v>82</v>
      </c>
      <c r="C362">
        <v>9</v>
      </c>
      <c r="D362">
        <v>0</v>
      </c>
      <c r="E362">
        <v>29</v>
      </c>
    </row>
    <row r="363" spans="1:5" x14ac:dyDescent="0.25">
      <c r="A363" t="s">
        <v>25</v>
      </c>
      <c r="B363" t="s">
        <v>64</v>
      </c>
      <c r="C363">
        <v>416</v>
      </c>
      <c r="D363">
        <v>47</v>
      </c>
      <c r="E363">
        <v>302</v>
      </c>
    </row>
    <row r="364" spans="1:5" x14ac:dyDescent="0.25">
      <c r="A364" t="s">
        <v>25</v>
      </c>
      <c r="B364" t="s">
        <v>96</v>
      </c>
      <c r="C364">
        <v>2</v>
      </c>
      <c r="D364">
        <v>3</v>
      </c>
      <c r="E364">
        <v>2</v>
      </c>
    </row>
    <row r="365" spans="1:5" x14ac:dyDescent="0.25">
      <c r="A365" t="s">
        <v>25</v>
      </c>
      <c r="B365" t="s">
        <v>83</v>
      </c>
      <c r="C365">
        <v>7</v>
      </c>
      <c r="D365">
        <v>19</v>
      </c>
      <c r="E365">
        <v>108</v>
      </c>
    </row>
    <row r="366" spans="1:5" x14ac:dyDescent="0.25">
      <c r="A366" t="s">
        <v>25</v>
      </c>
      <c r="B366" t="s">
        <v>84</v>
      </c>
      <c r="C366">
        <v>7</v>
      </c>
      <c r="D366">
        <v>11</v>
      </c>
      <c r="E366">
        <v>2</v>
      </c>
    </row>
    <row r="367" spans="1:5" x14ac:dyDescent="0.25">
      <c r="A367" t="s">
        <v>25</v>
      </c>
      <c r="B367" t="s">
        <v>85</v>
      </c>
      <c r="C367">
        <v>2</v>
      </c>
      <c r="D367">
        <v>20</v>
      </c>
      <c r="E367">
        <v>53</v>
      </c>
    </row>
    <row r="368" spans="1:5" x14ac:dyDescent="0.25">
      <c r="A368" t="s">
        <v>25</v>
      </c>
      <c r="B368" t="s">
        <v>86</v>
      </c>
      <c r="C368">
        <v>6</v>
      </c>
      <c r="D368">
        <v>4</v>
      </c>
      <c r="E368">
        <v>11</v>
      </c>
    </row>
    <row r="369" spans="1:5" x14ac:dyDescent="0.25">
      <c r="A369" t="s">
        <v>25</v>
      </c>
      <c r="B369" t="s">
        <v>79</v>
      </c>
      <c r="C369">
        <v>0</v>
      </c>
      <c r="D369">
        <v>16</v>
      </c>
      <c r="E369">
        <v>5</v>
      </c>
    </row>
    <row r="370" spans="1:5" x14ac:dyDescent="0.25">
      <c r="A370" t="s">
        <v>25</v>
      </c>
      <c r="B370" t="s">
        <v>92</v>
      </c>
      <c r="C370">
        <v>0</v>
      </c>
      <c r="D370">
        <v>1</v>
      </c>
      <c r="E370">
        <v>0</v>
      </c>
    </row>
    <row r="371" spans="1:5" x14ac:dyDescent="0.25">
      <c r="A371" t="s">
        <v>25</v>
      </c>
      <c r="B371" t="s">
        <v>101</v>
      </c>
      <c r="C371">
        <v>9</v>
      </c>
      <c r="D371">
        <v>6</v>
      </c>
      <c r="E371">
        <v>8</v>
      </c>
    </row>
    <row r="372" spans="1:5" x14ac:dyDescent="0.25">
      <c r="A372" t="s">
        <v>25</v>
      </c>
      <c r="B372" t="s">
        <v>63</v>
      </c>
      <c r="C372">
        <v>37</v>
      </c>
      <c r="D372">
        <v>184</v>
      </c>
      <c r="E372">
        <v>481</v>
      </c>
    </row>
    <row r="373" spans="1:5" x14ac:dyDescent="0.25">
      <c r="A373" t="s">
        <v>25</v>
      </c>
      <c r="B373" t="s">
        <v>76</v>
      </c>
      <c r="C373">
        <v>1</v>
      </c>
      <c r="D373">
        <v>22</v>
      </c>
      <c r="E373">
        <v>20</v>
      </c>
    </row>
    <row r="374" spans="1:5" x14ac:dyDescent="0.25">
      <c r="A374" t="s">
        <v>25</v>
      </c>
      <c r="B374" t="s">
        <v>80</v>
      </c>
      <c r="C374">
        <v>26</v>
      </c>
      <c r="D374">
        <v>36</v>
      </c>
      <c r="E374">
        <v>51</v>
      </c>
    </row>
    <row r="375" spans="1:5" x14ac:dyDescent="0.25">
      <c r="A375" t="s">
        <v>25</v>
      </c>
      <c r="B375" t="s">
        <v>87</v>
      </c>
      <c r="C375">
        <v>0</v>
      </c>
      <c r="D375">
        <v>13</v>
      </c>
      <c r="E375">
        <v>14</v>
      </c>
    </row>
    <row r="376" spans="1:5" x14ac:dyDescent="0.25">
      <c r="A376" t="s">
        <v>25</v>
      </c>
      <c r="B376" t="s">
        <v>88</v>
      </c>
      <c r="C376">
        <v>2</v>
      </c>
      <c r="D376">
        <v>16</v>
      </c>
      <c r="E376">
        <v>14</v>
      </c>
    </row>
    <row r="377" spans="1:5" x14ac:dyDescent="0.25">
      <c r="A377" t="s">
        <v>25</v>
      </c>
      <c r="B377" t="s">
        <v>81</v>
      </c>
      <c r="C377">
        <v>1</v>
      </c>
      <c r="D377">
        <v>19</v>
      </c>
      <c r="E377">
        <v>14</v>
      </c>
    </row>
    <row r="378" spans="1:5" x14ac:dyDescent="0.25">
      <c r="A378" t="s">
        <v>25</v>
      </c>
      <c r="B378" t="s">
        <v>74</v>
      </c>
      <c r="C378">
        <v>292</v>
      </c>
      <c r="D378">
        <v>86</v>
      </c>
      <c r="E378">
        <v>191</v>
      </c>
    </row>
    <row r="379" spans="1:5" x14ac:dyDescent="0.25">
      <c r="A379" t="s">
        <v>25</v>
      </c>
      <c r="B379" t="s">
        <v>95</v>
      </c>
      <c r="C379">
        <v>0</v>
      </c>
      <c r="D379">
        <v>7</v>
      </c>
      <c r="E379">
        <v>0</v>
      </c>
    </row>
    <row r="380" spans="1:5" x14ac:dyDescent="0.25">
      <c r="A380" t="s">
        <v>25</v>
      </c>
      <c r="B380" t="s">
        <v>97</v>
      </c>
      <c r="C380">
        <v>69</v>
      </c>
      <c r="D380">
        <v>45</v>
      </c>
      <c r="E380">
        <v>76</v>
      </c>
    </row>
    <row r="381" spans="1:5" x14ac:dyDescent="0.25">
      <c r="A381" t="s">
        <v>25</v>
      </c>
      <c r="B381" t="s">
        <v>98</v>
      </c>
      <c r="C381">
        <v>4</v>
      </c>
      <c r="D381">
        <v>7</v>
      </c>
      <c r="E381">
        <v>9</v>
      </c>
    </row>
    <row r="382" spans="1:5" x14ac:dyDescent="0.25">
      <c r="A382" t="s">
        <v>25</v>
      </c>
      <c r="B382" t="s">
        <v>99</v>
      </c>
      <c r="C382">
        <v>22</v>
      </c>
      <c r="D382">
        <v>19</v>
      </c>
      <c r="E382">
        <v>19</v>
      </c>
    </row>
    <row r="383" spans="1:5" x14ac:dyDescent="0.25">
      <c r="A383" t="s">
        <v>25</v>
      </c>
      <c r="B383" t="s">
        <v>89</v>
      </c>
      <c r="C383">
        <v>15</v>
      </c>
      <c r="D383">
        <v>25</v>
      </c>
      <c r="E383">
        <v>115</v>
      </c>
    </row>
    <row r="384" spans="1:5" x14ac:dyDescent="0.25">
      <c r="A384" t="s">
        <v>25</v>
      </c>
      <c r="B384" t="s">
        <v>94</v>
      </c>
      <c r="C384">
        <v>6</v>
      </c>
      <c r="D384">
        <v>15</v>
      </c>
      <c r="E384">
        <v>17</v>
      </c>
    </row>
    <row r="385" spans="1:5" x14ac:dyDescent="0.25">
      <c r="A385" t="s">
        <v>25</v>
      </c>
      <c r="B385" t="s">
        <v>100</v>
      </c>
      <c r="C385">
        <v>1</v>
      </c>
      <c r="D385">
        <v>3</v>
      </c>
      <c r="E385">
        <v>1</v>
      </c>
    </row>
    <row r="386" spans="1:5" x14ac:dyDescent="0.25">
      <c r="A386" t="s">
        <v>25</v>
      </c>
      <c r="B386" t="s">
        <v>77</v>
      </c>
      <c r="C386">
        <v>193</v>
      </c>
      <c r="D386">
        <v>31</v>
      </c>
      <c r="E386">
        <v>95</v>
      </c>
    </row>
    <row r="387" spans="1:5" x14ac:dyDescent="0.25">
      <c r="A387" t="s">
        <v>25</v>
      </c>
      <c r="B387" t="s">
        <v>90</v>
      </c>
      <c r="C387">
        <v>4</v>
      </c>
      <c r="D387">
        <v>4</v>
      </c>
      <c r="E387">
        <v>1</v>
      </c>
    </row>
    <row r="388" spans="1:5" x14ac:dyDescent="0.25">
      <c r="A388" t="s">
        <v>25</v>
      </c>
      <c r="B388" t="s">
        <v>78</v>
      </c>
      <c r="C388">
        <v>10</v>
      </c>
      <c r="D388">
        <v>3</v>
      </c>
      <c r="E388">
        <v>11</v>
      </c>
    </row>
    <row r="389" spans="1:5" x14ac:dyDescent="0.25">
      <c r="A389" t="s">
        <v>25</v>
      </c>
      <c r="B389" t="s">
        <v>91</v>
      </c>
      <c r="C389">
        <v>5</v>
      </c>
      <c r="D389">
        <v>0</v>
      </c>
      <c r="E389">
        <v>8</v>
      </c>
    </row>
    <row r="390" spans="1:5" x14ac:dyDescent="0.25">
      <c r="A390" t="s">
        <v>25</v>
      </c>
      <c r="B390" t="s">
        <v>75</v>
      </c>
      <c r="C390">
        <v>2</v>
      </c>
      <c r="D390">
        <v>0</v>
      </c>
      <c r="E390">
        <v>3</v>
      </c>
    </row>
    <row r="391" spans="1:5" x14ac:dyDescent="0.25">
      <c r="A391" t="s">
        <v>25</v>
      </c>
      <c r="B391" t="s">
        <v>65</v>
      </c>
      <c r="C391">
        <v>4</v>
      </c>
      <c r="D391">
        <v>0</v>
      </c>
      <c r="E391">
        <v>6</v>
      </c>
    </row>
    <row r="392" spans="1:5" x14ac:dyDescent="0.25">
      <c r="A392" t="s">
        <v>25</v>
      </c>
      <c r="B392" t="s">
        <v>82</v>
      </c>
      <c r="C392">
        <v>11</v>
      </c>
      <c r="D392">
        <v>0</v>
      </c>
      <c r="E392">
        <v>69</v>
      </c>
    </row>
    <row r="393" spans="1:5" x14ac:dyDescent="0.25">
      <c r="A393" t="s">
        <v>26</v>
      </c>
      <c r="B393" t="s">
        <v>64</v>
      </c>
      <c r="C393">
        <v>418</v>
      </c>
      <c r="D393">
        <v>44</v>
      </c>
      <c r="E393">
        <v>302</v>
      </c>
    </row>
    <row r="394" spans="1:5" x14ac:dyDescent="0.25">
      <c r="A394" t="s">
        <v>26</v>
      </c>
      <c r="B394" t="s">
        <v>96</v>
      </c>
      <c r="C394">
        <v>2</v>
      </c>
      <c r="D394">
        <v>3</v>
      </c>
      <c r="E394">
        <v>2</v>
      </c>
    </row>
    <row r="395" spans="1:5" x14ac:dyDescent="0.25">
      <c r="A395" t="s">
        <v>26</v>
      </c>
      <c r="B395" t="s">
        <v>83</v>
      </c>
      <c r="C395">
        <v>7</v>
      </c>
      <c r="D395">
        <v>19</v>
      </c>
      <c r="E395">
        <v>108</v>
      </c>
    </row>
    <row r="396" spans="1:5" x14ac:dyDescent="0.25">
      <c r="A396" t="s">
        <v>26</v>
      </c>
      <c r="B396" t="s">
        <v>84</v>
      </c>
      <c r="C396">
        <v>7</v>
      </c>
      <c r="D396">
        <v>11</v>
      </c>
      <c r="E396">
        <v>2</v>
      </c>
    </row>
    <row r="397" spans="1:5" x14ac:dyDescent="0.25">
      <c r="A397" t="s">
        <v>26</v>
      </c>
      <c r="B397" t="s">
        <v>85</v>
      </c>
      <c r="C397">
        <v>2</v>
      </c>
      <c r="D397">
        <v>20</v>
      </c>
      <c r="E397">
        <v>53</v>
      </c>
    </row>
    <row r="398" spans="1:5" x14ac:dyDescent="0.25">
      <c r="A398" t="s">
        <v>26</v>
      </c>
      <c r="B398" t="s">
        <v>86</v>
      </c>
      <c r="C398">
        <v>6</v>
      </c>
      <c r="D398">
        <v>4</v>
      </c>
      <c r="E398">
        <v>11</v>
      </c>
    </row>
    <row r="399" spans="1:5" x14ac:dyDescent="0.25">
      <c r="A399" t="s">
        <v>26</v>
      </c>
      <c r="B399" t="s">
        <v>79</v>
      </c>
      <c r="C399">
        <v>0</v>
      </c>
      <c r="D399">
        <v>16</v>
      </c>
      <c r="E399">
        <v>6</v>
      </c>
    </row>
    <row r="400" spans="1:5" x14ac:dyDescent="0.25">
      <c r="A400" t="s">
        <v>26</v>
      </c>
      <c r="B400" t="s">
        <v>92</v>
      </c>
      <c r="C400">
        <v>0</v>
      </c>
      <c r="D400">
        <v>1</v>
      </c>
      <c r="E400">
        <v>0</v>
      </c>
    </row>
    <row r="401" spans="1:5" x14ac:dyDescent="0.25">
      <c r="A401" t="s">
        <v>26</v>
      </c>
      <c r="B401" t="s">
        <v>101</v>
      </c>
      <c r="C401">
        <v>9</v>
      </c>
      <c r="D401">
        <v>6</v>
      </c>
      <c r="E401">
        <v>8</v>
      </c>
    </row>
    <row r="402" spans="1:5" x14ac:dyDescent="0.25">
      <c r="A402" t="s">
        <v>26</v>
      </c>
      <c r="B402" t="s">
        <v>63</v>
      </c>
      <c r="C402">
        <v>36</v>
      </c>
      <c r="D402">
        <v>187</v>
      </c>
      <c r="E402">
        <v>481</v>
      </c>
    </row>
    <row r="403" spans="1:5" x14ac:dyDescent="0.25">
      <c r="A403" t="s">
        <v>26</v>
      </c>
      <c r="B403" t="s">
        <v>76</v>
      </c>
      <c r="C403">
        <v>1</v>
      </c>
      <c r="D403">
        <v>22</v>
      </c>
      <c r="E403">
        <v>20</v>
      </c>
    </row>
    <row r="404" spans="1:5" x14ac:dyDescent="0.25">
      <c r="A404" t="s">
        <v>26</v>
      </c>
      <c r="B404" t="s">
        <v>80</v>
      </c>
      <c r="C404">
        <v>25</v>
      </c>
      <c r="D404">
        <v>36</v>
      </c>
      <c r="E404">
        <v>51</v>
      </c>
    </row>
    <row r="405" spans="1:5" x14ac:dyDescent="0.25">
      <c r="A405" t="s">
        <v>26</v>
      </c>
      <c r="B405" t="s">
        <v>87</v>
      </c>
      <c r="C405">
        <v>0</v>
      </c>
      <c r="D405">
        <v>13</v>
      </c>
      <c r="E405">
        <v>14</v>
      </c>
    </row>
    <row r="406" spans="1:5" x14ac:dyDescent="0.25">
      <c r="A406" t="s">
        <v>26</v>
      </c>
      <c r="B406" t="s">
        <v>88</v>
      </c>
      <c r="C406">
        <v>2</v>
      </c>
      <c r="D406">
        <v>15</v>
      </c>
      <c r="E406">
        <v>14</v>
      </c>
    </row>
    <row r="407" spans="1:5" x14ac:dyDescent="0.25">
      <c r="A407" t="s">
        <v>26</v>
      </c>
      <c r="B407" t="s">
        <v>81</v>
      </c>
      <c r="C407">
        <v>1</v>
      </c>
      <c r="D407">
        <v>19</v>
      </c>
      <c r="E407">
        <v>14</v>
      </c>
    </row>
    <row r="408" spans="1:5" x14ac:dyDescent="0.25">
      <c r="A408" t="s">
        <v>26</v>
      </c>
      <c r="B408" t="s">
        <v>74</v>
      </c>
      <c r="C408">
        <v>291</v>
      </c>
      <c r="D408">
        <v>87</v>
      </c>
      <c r="E408">
        <v>191</v>
      </c>
    </row>
    <row r="409" spans="1:5" x14ac:dyDescent="0.25">
      <c r="A409" t="s">
        <v>26</v>
      </c>
      <c r="B409" t="s">
        <v>95</v>
      </c>
      <c r="C409">
        <v>0</v>
      </c>
      <c r="D409">
        <v>7</v>
      </c>
      <c r="E409">
        <v>0</v>
      </c>
    </row>
    <row r="410" spans="1:5" x14ac:dyDescent="0.25">
      <c r="A410" t="s">
        <v>26</v>
      </c>
      <c r="B410" t="s">
        <v>97</v>
      </c>
      <c r="C410">
        <v>69</v>
      </c>
      <c r="D410">
        <v>46</v>
      </c>
      <c r="E410">
        <v>71</v>
      </c>
    </row>
    <row r="411" spans="1:5" x14ac:dyDescent="0.25">
      <c r="A411" t="s">
        <v>26</v>
      </c>
      <c r="B411" t="s">
        <v>98</v>
      </c>
      <c r="C411">
        <v>4</v>
      </c>
      <c r="D411">
        <v>7</v>
      </c>
      <c r="E411">
        <v>9</v>
      </c>
    </row>
    <row r="412" spans="1:5" x14ac:dyDescent="0.25">
      <c r="A412" t="s">
        <v>26</v>
      </c>
      <c r="B412" t="s">
        <v>99</v>
      </c>
      <c r="C412">
        <v>22</v>
      </c>
      <c r="D412">
        <v>19</v>
      </c>
      <c r="E412">
        <v>19</v>
      </c>
    </row>
    <row r="413" spans="1:5" x14ac:dyDescent="0.25">
      <c r="A413" t="s">
        <v>26</v>
      </c>
      <c r="B413" t="s">
        <v>89</v>
      </c>
      <c r="C413">
        <v>15</v>
      </c>
      <c r="D413">
        <v>25</v>
      </c>
      <c r="E413">
        <v>115</v>
      </c>
    </row>
    <row r="414" spans="1:5" x14ac:dyDescent="0.25">
      <c r="A414" t="s">
        <v>26</v>
      </c>
      <c r="B414" t="s">
        <v>94</v>
      </c>
      <c r="C414">
        <v>6</v>
      </c>
      <c r="D414">
        <v>15</v>
      </c>
      <c r="E414">
        <v>17</v>
      </c>
    </row>
    <row r="415" spans="1:5" x14ac:dyDescent="0.25">
      <c r="A415" t="s">
        <v>26</v>
      </c>
      <c r="B415" t="s">
        <v>100</v>
      </c>
      <c r="C415">
        <v>1</v>
      </c>
      <c r="D415">
        <v>3</v>
      </c>
      <c r="E415">
        <v>1</v>
      </c>
    </row>
    <row r="416" spans="1:5" x14ac:dyDescent="0.25">
      <c r="A416" t="s">
        <v>26</v>
      </c>
      <c r="B416" t="s">
        <v>77</v>
      </c>
      <c r="C416">
        <v>192</v>
      </c>
      <c r="D416">
        <v>31</v>
      </c>
      <c r="E416">
        <v>95</v>
      </c>
    </row>
    <row r="417" spans="1:5" x14ac:dyDescent="0.25">
      <c r="A417" t="s">
        <v>26</v>
      </c>
      <c r="B417" t="s">
        <v>90</v>
      </c>
      <c r="C417">
        <v>4</v>
      </c>
      <c r="D417">
        <v>4</v>
      </c>
      <c r="E417">
        <v>1</v>
      </c>
    </row>
    <row r="418" spans="1:5" x14ac:dyDescent="0.25">
      <c r="A418" t="s">
        <v>26</v>
      </c>
      <c r="B418" t="s">
        <v>78</v>
      </c>
      <c r="C418">
        <v>10</v>
      </c>
      <c r="D418">
        <v>3</v>
      </c>
      <c r="E418">
        <v>11</v>
      </c>
    </row>
    <row r="419" spans="1:5" x14ac:dyDescent="0.25">
      <c r="A419" t="s">
        <v>26</v>
      </c>
      <c r="B419" t="s">
        <v>91</v>
      </c>
      <c r="C419">
        <v>5</v>
      </c>
      <c r="D419">
        <v>0</v>
      </c>
      <c r="E419">
        <v>8</v>
      </c>
    </row>
    <row r="420" spans="1:5" x14ac:dyDescent="0.25">
      <c r="A420" t="s">
        <v>26</v>
      </c>
      <c r="B420" t="s">
        <v>75</v>
      </c>
      <c r="C420">
        <v>2</v>
      </c>
      <c r="D420">
        <v>0</v>
      </c>
      <c r="E420">
        <v>3</v>
      </c>
    </row>
    <row r="421" spans="1:5" x14ac:dyDescent="0.25">
      <c r="A421" t="s">
        <v>26</v>
      </c>
      <c r="B421" t="s">
        <v>65</v>
      </c>
      <c r="C421">
        <v>4</v>
      </c>
      <c r="D421">
        <v>0</v>
      </c>
      <c r="E421">
        <v>6</v>
      </c>
    </row>
    <row r="422" spans="1:5" x14ac:dyDescent="0.25">
      <c r="A422" t="s">
        <v>26</v>
      </c>
      <c r="B422" t="s">
        <v>82</v>
      </c>
      <c r="C422">
        <v>11</v>
      </c>
      <c r="D422">
        <v>0</v>
      </c>
      <c r="E422">
        <v>78</v>
      </c>
    </row>
    <row r="423" spans="1:5" x14ac:dyDescent="0.25">
      <c r="A423" t="s">
        <v>27</v>
      </c>
      <c r="B423" t="s">
        <v>64</v>
      </c>
      <c r="C423">
        <v>547</v>
      </c>
      <c r="D423">
        <v>46</v>
      </c>
      <c r="E423">
        <v>305</v>
      </c>
    </row>
    <row r="424" spans="1:5" x14ac:dyDescent="0.25">
      <c r="A424" t="s">
        <v>27</v>
      </c>
      <c r="B424" t="s">
        <v>96</v>
      </c>
      <c r="C424">
        <v>3</v>
      </c>
      <c r="D424">
        <v>3</v>
      </c>
      <c r="E424">
        <v>2</v>
      </c>
    </row>
    <row r="425" spans="1:5" x14ac:dyDescent="0.25">
      <c r="A425" t="s">
        <v>27</v>
      </c>
      <c r="B425" t="s">
        <v>83</v>
      </c>
      <c r="C425">
        <v>8</v>
      </c>
      <c r="D425">
        <v>20</v>
      </c>
      <c r="E425">
        <v>108</v>
      </c>
    </row>
    <row r="426" spans="1:5" x14ac:dyDescent="0.25">
      <c r="A426" t="s">
        <v>27</v>
      </c>
      <c r="B426" t="s">
        <v>84</v>
      </c>
      <c r="C426">
        <v>7</v>
      </c>
      <c r="D426">
        <v>11</v>
      </c>
      <c r="E426">
        <v>2</v>
      </c>
    </row>
    <row r="427" spans="1:5" x14ac:dyDescent="0.25">
      <c r="A427" t="s">
        <v>27</v>
      </c>
      <c r="B427" t="s">
        <v>85</v>
      </c>
      <c r="C427">
        <v>1</v>
      </c>
      <c r="D427">
        <v>21</v>
      </c>
      <c r="E427">
        <v>53</v>
      </c>
    </row>
    <row r="428" spans="1:5" x14ac:dyDescent="0.25">
      <c r="A428" t="s">
        <v>27</v>
      </c>
      <c r="B428" t="s">
        <v>86</v>
      </c>
      <c r="C428">
        <v>6</v>
      </c>
      <c r="D428">
        <v>4</v>
      </c>
      <c r="E428">
        <v>11</v>
      </c>
    </row>
    <row r="429" spans="1:5" x14ac:dyDescent="0.25">
      <c r="A429" t="s">
        <v>27</v>
      </c>
      <c r="B429" t="s">
        <v>79</v>
      </c>
      <c r="C429">
        <v>0</v>
      </c>
      <c r="D429">
        <v>16</v>
      </c>
      <c r="E429">
        <v>6</v>
      </c>
    </row>
    <row r="430" spans="1:5" x14ac:dyDescent="0.25">
      <c r="A430" t="s">
        <v>27</v>
      </c>
      <c r="B430" t="s">
        <v>92</v>
      </c>
      <c r="C430">
        <v>1</v>
      </c>
      <c r="D430">
        <v>3</v>
      </c>
      <c r="E430">
        <v>0</v>
      </c>
    </row>
    <row r="431" spans="1:5" x14ac:dyDescent="0.25">
      <c r="A431" t="s">
        <v>27</v>
      </c>
      <c r="B431" t="s">
        <v>101</v>
      </c>
      <c r="C431">
        <v>10</v>
      </c>
      <c r="D431">
        <v>6</v>
      </c>
      <c r="E431">
        <v>8</v>
      </c>
    </row>
    <row r="432" spans="1:5" x14ac:dyDescent="0.25">
      <c r="A432" t="s">
        <v>27</v>
      </c>
      <c r="B432" t="s">
        <v>63</v>
      </c>
      <c r="C432">
        <v>93</v>
      </c>
      <c r="D432">
        <v>191</v>
      </c>
      <c r="E432">
        <v>482</v>
      </c>
    </row>
    <row r="433" spans="1:5" x14ac:dyDescent="0.25">
      <c r="A433" t="s">
        <v>27</v>
      </c>
      <c r="B433" t="s">
        <v>76</v>
      </c>
      <c r="C433">
        <v>1</v>
      </c>
      <c r="D433">
        <v>22</v>
      </c>
      <c r="E433">
        <v>21</v>
      </c>
    </row>
    <row r="434" spans="1:5" x14ac:dyDescent="0.25">
      <c r="A434" t="s">
        <v>27</v>
      </c>
      <c r="B434" t="s">
        <v>80</v>
      </c>
      <c r="C434">
        <v>33</v>
      </c>
      <c r="D434">
        <v>37</v>
      </c>
      <c r="E434">
        <v>51</v>
      </c>
    </row>
    <row r="435" spans="1:5" x14ac:dyDescent="0.25">
      <c r="A435" t="s">
        <v>27</v>
      </c>
      <c r="B435" t="s">
        <v>87</v>
      </c>
      <c r="C435">
        <v>0</v>
      </c>
      <c r="D435">
        <v>13</v>
      </c>
      <c r="E435">
        <v>14</v>
      </c>
    </row>
    <row r="436" spans="1:5" x14ac:dyDescent="0.25">
      <c r="A436" t="s">
        <v>27</v>
      </c>
      <c r="B436" t="s">
        <v>88</v>
      </c>
      <c r="C436">
        <v>3</v>
      </c>
      <c r="D436">
        <v>15</v>
      </c>
      <c r="E436">
        <v>14</v>
      </c>
    </row>
    <row r="437" spans="1:5" x14ac:dyDescent="0.25">
      <c r="A437" t="s">
        <v>27</v>
      </c>
      <c r="B437" t="s">
        <v>66</v>
      </c>
      <c r="C437">
        <v>9</v>
      </c>
      <c r="D437">
        <v>67</v>
      </c>
      <c r="E437">
        <v>37</v>
      </c>
    </row>
    <row r="438" spans="1:5" x14ac:dyDescent="0.25">
      <c r="A438" t="s">
        <v>27</v>
      </c>
      <c r="B438" t="s">
        <v>102</v>
      </c>
      <c r="C438">
        <v>0</v>
      </c>
      <c r="D438">
        <v>12</v>
      </c>
      <c r="E438">
        <v>6</v>
      </c>
    </row>
    <row r="439" spans="1:5" x14ac:dyDescent="0.25">
      <c r="A439" t="s">
        <v>27</v>
      </c>
      <c r="B439" t="s">
        <v>103</v>
      </c>
      <c r="C439">
        <v>0</v>
      </c>
      <c r="D439">
        <v>12</v>
      </c>
      <c r="E439">
        <v>13</v>
      </c>
    </row>
    <row r="440" spans="1:5" x14ac:dyDescent="0.25">
      <c r="A440" t="s">
        <v>27</v>
      </c>
      <c r="B440" t="s">
        <v>104</v>
      </c>
      <c r="C440">
        <v>0</v>
      </c>
      <c r="D440">
        <v>14</v>
      </c>
      <c r="E440">
        <v>14</v>
      </c>
    </row>
    <row r="441" spans="1:5" x14ac:dyDescent="0.25">
      <c r="A441" t="s">
        <v>27</v>
      </c>
      <c r="B441" t="s">
        <v>105</v>
      </c>
      <c r="C441">
        <v>1</v>
      </c>
      <c r="D441">
        <v>0</v>
      </c>
      <c r="E441">
        <v>48</v>
      </c>
    </row>
    <row r="442" spans="1:5" x14ac:dyDescent="0.25">
      <c r="A442" t="s">
        <v>27</v>
      </c>
      <c r="B442" t="s">
        <v>67</v>
      </c>
      <c r="C442">
        <v>0</v>
      </c>
      <c r="D442">
        <v>22</v>
      </c>
      <c r="E442">
        <v>85</v>
      </c>
    </row>
    <row r="443" spans="1:5" x14ac:dyDescent="0.25">
      <c r="A443" t="s">
        <v>27</v>
      </c>
      <c r="B443" t="s">
        <v>106</v>
      </c>
      <c r="C443">
        <v>3</v>
      </c>
      <c r="D443">
        <v>12</v>
      </c>
      <c r="E443">
        <v>27</v>
      </c>
    </row>
    <row r="444" spans="1:5" x14ac:dyDescent="0.25">
      <c r="A444" t="s">
        <v>27</v>
      </c>
      <c r="B444" t="s">
        <v>107</v>
      </c>
      <c r="C444">
        <v>1</v>
      </c>
      <c r="D444">
        <v>6</v>
      </c>
      <c r="E444">
        <v>0</v>
      </c>
    </row>
    <row r="445" spans="1:5" x14ac:dyDescent="0.25">
      <c r="A445" t="s">
        <v>27</v>
      </c>
      <c r="B445" t="s">
        <v>108</v>
      </c>
      <c r="C445">
        <v>0</v>
      </c>
      <c r="D445">
        <v>8</v>
      </c>
      <c r="E445">
        <v>0</v>
      </c>
    </row>
    <row r="446" spans="1:5" x14ac:dyDescent="0.25">
      <c r="A446" t="s">
        <v>27</v>
      </c>
      <c r="B446" t="s">
        <v>109</v>
      </c>
      <c r="C446">
        <v>0</v>
      </c>
      <c r="D446">
        <v>7</v>
      </c>
      <c r="E446">
        <v>15</v>
      </c>
    </row>
    <row r="447" spans="1:5" x14ac:dyDescent="0.25">
      <c r="A447" t="s">
        <v>27</v>
      </c>
      <c r="B447" t="s">
        <v>68</v>
      </c>
      <c r="C447">
        <v>0</v>
      </c>
      <c r="D447">
        <v>14</v>
      </c>
      <c r="E447">
        <v>2</v>
      </c>
    </row>
    <row r="448" spans="1:5" x14ac:dyDescent="0.25">
      <c r="A448" t="s">
        <v>27</v>
      </c>
      <c r="B448" t="s">
        <v>110</v>
      </c>
      <c r="C448">
        <v>1</v>
      </c>
      <c r="D448">
        <v>14</v>
      </c>
      <c r="E448">
        <v>7</v>
      </c>
    </row>
    <row r="449" spans="1:5" x14ac:dyDescent="0.25">
      <c r="A449" t="s">
        <v>27</v>
      </c>
      <c r="B449" t="s">
        <v>69</v>
      </c>
      <c r="C449">
        <v>0</v>
      </c>
      <c r="D449">
        <v>6</v>
      </c>
      <c r="E449">
        <v>3</v>
      </c>
    </row>
    <row r="450" spans="1:5" x14ac:dyDescent="0.25">
      <c r="A450" t="s">
        <v>27</v>
      </c>
      <c r="B450" t="s">
        <v>70</v>
      </c>
      <c r="C450">
        <v>4</v>
      </c>
      <c r="D450">
        <v>15</v>
      </c>
      <c r="E450">
        <v>5</v>
      </c>
    </row>
    <row r="451" spans="1:5" x14ac:dyDescent="0.25">
      <c r="A451" t="s">
        <v>27</v>
      </c>
      <c r="B451" t="s">
        <v>111</v>
      </c>
      <c r="C451">
        <v>1</v>
      </c>
      <c r="D451">
        <v>15</v>
      </c>
      <c r="E451">
        <v>4</v>
      </c>
    </row>
    <row r="452" spans="1:5" x14ac:dyDescent="0.25">
      <c r="A452" t="s">
        <v>27</v>
      </c>
      <c r="B452" t="s">
        <v>112</v>
      </c>
      <c r="C452">
        <v>1</v>
      </c>
      <c r="D452">
        <v>11</v>
      </c>
      <c r="E452">
        <v>6</v>
      </c>
    </row>
    <row r="453" spans="1:5" x14ac:dyDescent="0.25">
      <c r="A453" t="s">
        <v>27</v>
      </c>
      <c r="B453" t="s">
        <v>113</v>
      </c>
      <c r="C453">
        <v>0</v>
      </c>
      <c r="D453">
        <v>3</v>
      </c>
      <c r="E453">
        <v>5</v>
      </c>
    </row>
    <row r="454" spans="1:5" x14ac:dyDescent="0.25">
      <c r="A454" t="s">
        <v>27</v>
      </c>
      <c r="B454" t="s">
        <v>114</v>
      </c>
      <c r="C454">
        <v>0</v>
      </c>
      <c r="D454">
        <v>12</v>
      </c>
      <c r="E454">
        <v>1</v>
      </c>
    </row>
    <row r="455" spans="1:5" x14ac:dyDescent="0.25">
      <c r="A455" t="s">
        <v>27</v>
      </c>
      <c r="B455" t="s">
        <v>115</v>
      </c>
      <c r="C455">
        <v>0</v>
      </c>
      <c r="D455">
        <v>13</v>
      </c>
      <c r="E455">
        <v>6</v>
      </c>
    </row>
    <row r="456" spans="1:5" x14ac:dyDescent="0.25">
      <c r="A456" t="s">
        <v>27</v>
      </c>
      <c r="B456" t="s">
        <v>116</v>
      </c>
      <c r="C456">
        <v>0</v>
      </c>
      <c r="D456">
        <v>11</v>
      </c>
      <c r="E456">
        <v>5</v>
      </c>
    </row>
    <row r="457" spans="1:5" x14ac:dyDescent="0.25">
      <c r="A457" t="s">
        <v>27</v>
      </c>
      <c r="B457" t="s">
        <v>117</v>
      </c>
      <c r="C457">
        <v>0</v>
      </c>
      <c r="D457">
        <v>12</v>
      </c>
      <c r="E457">
        <v>8</v>
      </c>
    </row>
    <row r="458" spans="1:5" x14ac:dyDescent="0.25">
      <c r="A458" t="s">
        <v>27</v>
      </c>
      <c r="B458" t="s">
        <v>118</v>
      </c>
      <c r="C458">
        <v>0</v>
      </c>
      <c r="D458">
        <v>17</v>
      </c>
      <c r="E458">
        <v>2</v>
      </c>
    </row>
    <row r="459" spans="1:5" x14ac:dyDescent="0.25">
      <c r="A459" t="s">
        <v>27</v>
      </c>
      <c r="B459" t="s">
        <v>73</v>
      </c>
      <c r="C459">
        <v>0</v>
      </c>
      <c r="D459">
        <v>12</v>
      </c>
      <c r="E459">
        <v>19</v>
      </c>
    </row>
    <row r="460" spans="1:5" x14ac:dyDescent="0.25">
      <c r="A460" t="s">
        <v>27</v>
      </c>
      <c r="B460" t="s">
        <v>119</v>
      </c>
      <c r="C460">
        <v>0</v>
      </c>
      <c r="D460">
        <v>7</v>
      </c>
      <c r="E460">
        <v>0</v>
      </c>
    </row>
    <row r="461" spans="1:5" x14ac:dyDescent="0.25">
      <c r="A461" t="s">
        <v>27</v>
      </c>
      <c r="B461" t="s">
        <v>81</v>
      </c>
      <c r="C461">
        <v>1</v>
      </c>
      <c r="D461">
        <v>19</v>
      </c>
      <c r="E461">
        <v>14</v>
      </c>
    </row>
    <row r="462" spans="1:5" x14ac:dyDescent="0.25">
      <c r="A462" t="s">
        <v>27</v>
      </c>
      <c r="B462" t="s">
        <v>74</v>
      </c>
      <c r="C462">
        <v>399</v>
      </c>
      <c r="D462">
        <v>87</v>
      </c>
      <c r="E462">
        <v>191</v>
      </c>
    </row>
    <row r="463" spans="1:5" x14ac:dyDescent="0.25">
      <c r="A463" t="s">
        <v>27</v>
      </c>
      <c r="B463" t="s">
        <v>95</v>
      </c>
      <c r="C463">
        <v>0</v>
      </c>
      <c r="D463">
        <v>7</v>
      </c>
      <c r="E463">
        <v>0</v>
      </c>
    </row>
    <row r="464" spans="1:5" x14ac:dyDescent="0.25">
      <c r="A464" t="s">
        <v>27</v>
      </c>
      <c r="B464" t="s">
        <v>120</v>
      </c>
      <c r="C464">
        <v>0</v>
      </c>
      <c r="D464">
        <v>12</v>
      </c>
      <c r="E464">
        <v>2</v>
      </c>
    </row>
    <row r="465" spans="1:5" x14ac:dyDescent="0.25">
      <c r="A465" t="s">
        <v>27</v>
      </c>
      <c r="B465" t="s">
        <v>121</v>
      </c>
      <c r="C465">
        <v>0</v>
      </c>
      <c r="D465">
        <v>9</v>
      </c>
      <c r="E465">
        <v>3</v>
      </c>
    </row>
    <row r="466" spans="1:5" x14ac:dyDescent="0.25">
      <c r="A466" t="s">
        <v>27</v>
      </c>
      <c r="B466" t="s">
        <v>97</v>
      </c>
      <c r="C466">
        <v>71</v>
      </c>
      <c r="D466">
        <v>46</v>
      </c>
      <c r="E466">
        <v>77</v>
      </c>
    </row>
    <row r="467" spans="1:5" x14ac:dyDescent="0.25">
      <c r="A467" t="s">
        <v>27</v>
      </c>
      <c r="B467" t="s">
        <v>98</v>
      </c>
      <c r="C467">
        <v>4</v>
      </c>
      <c r="D467">
        <v>7</v>
      </c>
      <c r="E467">
        <v>9</v>
      </c>
    </row>
    <row r="468" spans="1:5" x14ac:dyDescent="0.25">
      <c r="A468" t="s">
        <v>27</v>
      </c>
      <c r="B468" t="s">
        <v>99</v>
      </c>
      <c r="C468">
        <v>22</v>
      </c>
      <c r="D468">
        <v>20</v>
      </c>
      <c r="E468">
        <v>19</v>
      </c>
    </row>
    <row r="469" spans="1:5" x14ac:dyDescent="0.25">
      <c r="A469" t="s">
        <v>27</v>
      </c>
      <c r="B469" t="s">
        <v>89</v>
      </c>
      <c r="C469">
        <v>16</v>
      </c>
      <c r="D469">
        <v>26</v>
      </c>
      <c r="E469">
        <v>115</v>
      </c>
    </row>
    <row r="470" spans="1:5" x14ac:dyDescent="0.25">
      <c r="A470" t="s">
        <v>27</v>
      </c>
      <c r="B470" t="s">
        <v>94</v>
      </c>
      <c r="C470">
        <v>6</v>
      </c>
      <c r="D470">
        <v>15</v>
      </c>
      <c r="E470">
        <v>17</v>
      </c>
    </row>
    <row r="471" spans="1:5" x14ac:dyDescent="0.25">
      <c r="A471" t="s">
        <v>27</v>
      </c>
      <c r="B471" t="s">
        <v>100</v>
      </c>
      <c r="C471">
        <v>1</v>
      </c>
      <c r="D471">
        <v>3</v>
      </c>
      <c r="E471">
        <v>1</v>
      </c>
    </row>
    <row r="472" spans="1:5" x14ac:dyDescent="0.25">
      <c r="A472" t="s">
        <v>27</v>
      </c>
      <c r="B472" t="s">
        <v>77</v>
      </c>
      <c r="C472">
        <v>242</v>
      </c>
      <c r="D472">
        <v>32</v>
      </c>
      <c r="E472">
        <v>98</v>
      </c>
    </row>
    <row r="473" spans="1:5" x14ac:dyDescent="0.25">
      <c r="A473" t="s">
        <v>27</v>
      </c>
      <c r="B473" t="s">
        <v>122</v>
      </c>
      <c r="C473">
        <v>4</v>
      </c>
      <c r="D473">
        <v>3</v>
      </c>
      <c r="E473">
        <v>1</v>
      </c>
    </row>
    <row r="474" spans="1:5" x14ac:dyDescent="0.25">
      <c r="A474" t="s">
        <v>27</v>
      </c>
      <c r="B474" t="s">
        <v>90</v>
      </c>
      <c r="C474">
        <v>6</v>
      </c>
      <c r="D474">
        <v>4</v>
      </c>
      <c r="E474">
        <v>1</v>
      </c>
    </row>
    <row r="475" spans="1:5" x14ac:dyDescent="0.25">
      <c r="A475" t="s">
        <v>27</v>
      </c>
      <c r="B475" t="s">
        <v>123</v>
      </c>
      <c r="C475">
        <v>1</v>
      </c>
      <c r="D475">
        <v>1</v>
      </c>
      <c r="E475">
        <v>0</v>
      </c>
    </row>
    <row r="476" spans="1:5" x14ac:dyDescent="0.25">
      <c r="A476" t="s">
        <v>27</v>
      </c>
      <c r="B476" t="s">
        <v>124</v>
      </c>
      <c r="C476">
        <v>0</v>
      </c>
      <c r="D476">
        <v>6</v>
      </c>
      <c r="E476">
        <v>0</v>
      </c>
    </row>
    <row r="477" spans="1:5" x14ac:dyDescent="0.25">
      <c r="A477" t="s">
        <v>27</v>
      </c>
      <c r="B477" t="s">
        <v>78</v>
      </c>
      <c r="C477">
        <v>12</v>
      </c>
      <c r="D477">
        <v>3</v>
      </c>
      <c r="E477">
        <v>11</v>
      </c>
    </row>
    <row r="478" spans="1:5" x14ac:dyDescent="0.25">
      <c r="A478" t="s">
        <v>27</v>
      </c>
      <c r="B478" t="s">
        <v>91</v>
      </c>
      <c r="C478">
        <v>5</v>
      </c>
      <c r="D478">
        <v>0</v>
      </c>
      <c r="E478">
        <v>8</v>
      </c>
    </row>
    <row r="479" spans="1:5" x14ac:dyDescent="0.25">
      <c r="A479" t="s">
        <v>27</v>
      </c>
      <c r="B479" t="s">
        <v>75</v>
      </c>
      <c r="C479">
        <v>2</v>
      </c>
      <c r="D479">
        <v>0</v>
      </c>
      <c r="E479">
        <v>3</v>
      </c>
    </row>
    <row r="480" spans="1:5" x14ac:dyDescent="0.25">
      <c r="A480" t="s">
        <v>27</v>
      </c>
      <c r="B480" t="s">
        <v>65</v>
      </c>
      <c r="C480">
        <v>4</v>
      </c>
      <c r="D480">
        <v>0</v>
      </c>
      <c r="E480">
        <v>6</v>
      </c>
    </row>
    <row r="481" spans="1:5" x14ac:dyDescent="0.25">
      <c r="A481" t="s">
        <v>27</v>
      </c>
      <c r="B481" t="s">
        <v>82</v>
      </c>
      <c r="C481">
        <v>11</v>
      </c>
      <c r="D481">
        <v>0</v>
      </c>
      <c r="E481">
        <v>78</v>
      </c>
    </row>
    <row r="482" spans="1:5" x14ac:dyDescent="0.25">
      <c r="A482" t="s">
        <v>28</v>
      </c>
      <c r="B482" t="s">
        <v>64</v>
      </c>
      <c r="C482">
        <v>547</v>
      </c>
      <c r="D482">
        <v>49</v>
      </c>
      <c r="E482">
        <v>305</v>
      </c>
    </row>
    <row r="483" spans="1:5" x14ac:dyDescent="0.25">
      <c r="A483" t="s">
        <v>28</v>
      </c>
      <c r="B483" t="s">
        <v>96</v>
      </c>
      <c r="C483">
        <v>3</v>
      </c>
      <c r="D483">
        <v>3</v>
      </c>
      <c r="E483">
        <v>2</v>
      </c>
    </row>
    <row r="484" spans="1:5" x14ac:dyDescent="0.25">
      <c r="A484" t="s">
        <v>28</v>
      </c>
      <c r="B484" t="s">
        <v>83</v>
      </c>
      <c r="C484">
        <v>8</v>
      </c>
      <c r="D484">
        <v>25</v>
      </c>
      <c r="E484">
        <v>110</v>
      </c>
    </row>
    <row r="485" spans="1:5" x14ac:dyDescent="0.25">
      <c r="A485" t="s">
        <v>28</v>
      </c>
      <c r="B485" t="s">
        <v>84</v>
      </c>
      <c r="C485">
        <v>7</v>
      </c>
      <c r="D485">
        <v>11</v>
      </c>
      <c r="E485">
        <v>2</v>
      </c>
    </row>
    <row r="486" spans="1:5" x14ac:dyDescent="0.25">
      <c r="A486" t="s">
        <v>28</v>
      </c>
      <c r="B486" t="s">
        <v>85</v>
      </c>
      <c r="C486">
        <v>1</v>
      </c>
      <c r="D486">
        <v>21</v>
      </c>
      <c r="E486">
        <v>53</v>
      </c>
    </row>
    <row r="487" spans="1:5" x14ac:dyDescent="0.25">
      <c r="A487" t="s">
        <v>28</v>
      </c>
      <c r="B487" t="s">
        <v>86</v>
      </c>
      <c r="C487">
        <v>6</v>
      </c>
      <c r="D487">
        <v>5</v>
      </c>
      <c r="E487">
        <v>11</v>
      </c>
    </row>
    <row r="488" spans="1:5" x14ac:dyDescent="0.25">
      <c r="A488" t="s">
        <v>28</v>
      </c>
      <c r="B488" t="s">
        <v>79</v>
      </c>
      <c r="C488">
        <v>0</v>
      </c>
      <c r="D488">
        <v>16</v>
      </c>
      <c r="E488">
        <v>6</v>
      </c>
    </row>
    <row r="489" spans="1:5" x14ac:dyDescent="0.25">
      <c r="A489" t="s">
        <v>28</v>
      </c>
      <c r="B489" t="s">
        <v>92</v>
      </c>
      <c r="C489">
        <v>1</v>
      </c>
      <c r="D489">
        <v>3</v>
      </c>
      <c r="E489">
        <v>0</v>
      </c>
    </row>
    <row r="490" spans="1:5" x14ac:dyDescent="0.25">
      <c r="A490" t="s">
        <v>28</v>
      </c>
      <c r="B490" t="s">
        <v>101</v>
      </c>
      <c r="C490">
        <v>12</v>
      </c>
      <c r="D490">
        <v>6</v>
      </c>
      <c r="E490">
        <v>8</v>
      </c>
    </row>
    <row r="491" spans="1:5" x14ac:dyDescent="0.25">
      <c r="A491" t="s">
        <v>28</v>
      </c>
      <c r="B491" t="s">
        <v>63</v>
      </c>
      <c r="C491">
        <v>94</v>
      </c>
      <c r="D491">
        <v>192</v>
      </c>
      <c r="E491">
        <v>482</v>
      </c>
    </row>
    <row r="492" spans="1:5" x14ac:dyDescent="0.25">
      <c r="A492" t="s">
        <v>28</v>
      </c>
      <c r="B492" t="s">
        <v>76</v>
      </c>
      <c r="C492">
        <v>1</v>
      </c>
      <c r="D492">
        <v>22</v>
      </c>
      <c r="E492">
        <v>21</v>
      </c>
    </row>
    <row r="493" spans="1:5" x14ac:dyDescent="0.25">
      <c r="A493" t="s">
        <v>28</v>
      </c>
      <c r="B493" t="s">
        <v>80</v>
      </c>
      <c r="C493">
        <v>35</v>
      </c>
      <c r="D493">
        <v>37</v>
      </c>
      <c r="E493">
        <v>51</v>
      </c>
    </row>
    <row r="494" spans="1:5" x14ac:dyDescent="0.25">
      <c r="A494" t="s">
        <v>28</v>
      </c>
      <c r="B494" t="s">
        <v>87</v>
      </c>
      <c r="C494">
        <v>0</v>
      </c>
      <c r="D494">
        <v>13</v>
      </c>
      <c r="E494">
        <v>14</v>
      </c>
    </row>
    <row r="495" spans="1:5" x14ac:dyDescent="0.25">
      <c r="A495" t="s">
        <v>28</v>
      </c>
      <c r="B495" t="s">
        <v>88</v>
      </c>
      <c r="C495">
        <v>3</v>
      </c>
      <c r="D495">
        <v>15</v>
      </c>
      <c r="E495">
        <v>14</v>
      </c>
    </row>
    <row r="496" spans="1:5" x14ac:dyDescent="0.25">
      <c r="A496" t="s">
        <v>28</v>
      </c>
      <c r="B496" t="s">
        <v>66</v>
      </c>
      <c r="C496">
        <v>9</v>
      </c>
      <c r="D496">
        <v>67</v>
      </c>
      <c r="E496">
        <v>37</v>
      </c>
    </row>
    <row r="497" spans="1:5" x14ac:dyDescent="0.25">
      <c r="A497" t="s">
        <v>28</v>
      </c>
      <c r="B497" t="s">
        <v>102</v>
      </c>
      <c r="C497">
        <v>0</v>
      </c>
      <c r="D497">
        <v>12</v>
      </c>
      <c r="E497">
        <v>6</v>
      </c>
    </row>
    <row r="498" spans="1:5" x14ac:dyDescent="0.25">
      <c r="A498" t="s">
        <v>28</v>
      </c>
      <c r="B498" t="s">
        <v>103</v>
      </c>
      <c r="C498">
        <v>0</v>
      </c>
      <c r="D498">
        <v>12</v>
      </c>
      <c r="E498">
        <v>13</v>
      </c>
    </row>
    <row r="499" spans="1:5" x14ac:dyDescent="0.25">
      <c r="A499" t="s">
        <v>28</v>
      </c>
      <c r="B499" t="s">
        <v>104</v>
      </c>
      <c r="C499">
        <v>0</v>
      </c>
      <c r="D499">
        <v>14</v>
      </c>
      <c r="E499">
        <v>14</v>
      </c>
    </row>
    <row r="500" spans="1:5" x14ac:dyDescent="0.25">
      <c r="A500" t="s">
        <v>28</v>
      </c>
      <c r="B500" t="s">
        <v>105</v>
      </c>
      <c r="C500">
        <v>1</v>
      </c>
      <c r="D500">
        <v>0</v>
      </c>
      <c r="E500">
        <v>48</v>
      </c>
    </row>
    <row r="501" spans="1:5" x14ac:dyDescent="0.25">
      <c r="A501" t="s">
        <v>28</v>
      </c>
      <c r="B501" t="s">
        <v>67</v>
      </c>
      <c r="C501">
        <v>0</v>
      </c>
      <c r="D501">
        <v>22</v>
      </c>
      <c r="E501">
        <v>85</v>
      </c>
    </row>
    <row r="502" spans="1:5" x14ac:dyDescent="0.25">
      <c r="A502" t="s">
        <v>28</v>
      </c>
      <c r="B502" t="s">
        <v>106</v>
      </c>
      <c r="C502">
        <v>3</v>
      </c>
      <c r="D502">
        <v>12</v>
      </c>
      <c r="E502">
        <v>27</v>
      </c>
    </row>
    <row r="503" spans="1:5" x14ac:dyDescent="0.25">
      <c r="A503" t="s">
        <v>28</v>
      </c>
      <c r="B503" t="s">
        <v>107</v>
      </c>
      <c r="C503">
        <v>1</v>
      </c>
      <c r="D503">
        <v>6</v>
      </c>
      <c r="E503">
        <v>0</v>
      </c>
    </row>
    <row r="504" spans="1:5" x14ac:dyDescent="0.25">
      <c r="A504" t="s">
        <v>28</v>
      </c>
      <c r="B504" t="s">
        <v>108</v>
      </c>
      <c r="C504">
        <v>0</v>
      </c>
      <c r="D504">
        <v>8</v>
      </c>
      <c r="E504">
        <v>0</v>
      </c>
    </row>
    <row r="505" spans="1:5" x14ac:dyDescent="0.25">
      <c r="A505" t="s">
        <v>28</v>
      </c>
      <c r="B505" t="s">
        <v>109</v>
      </c>
      <c r="C505">
        <v>0</v>
      </c>
      <c r="D505">
        <v>7</v>
      </c>
      <c r="E505">
        <v>15</v>
      </c>
    </row>
    <row r="506" spans="1:5" x14ac:dyDescent="0.25">
      <c r="A506" t="s">
        <v>28</v>
      </c>
      <c r="B506" t="s">
        <v>68</v>
      </c>
      <c r="C506">
        <v>0</v>
      </c>
      <c r="D506">
        <v>14</v>
      </c>
      <c r="E506">
        <v>2</v>
      </c>
    </row>
    <row r="507" spans="1:5" x14ac:dyDescent="0.25">
      <c r="A507" t="s">
        <v>28</v>
      </c>
      <c r="B507" t="s">
        <v>110</v>
      </c>
      <c r="C507">
        <v>1</v>
      </c>
      <c r="D507">
        <v>14</v>
      </c>
      <c r="E507">
        <v>7</v>
      </c>
    </row>
    <row r="508" spans="1:5" x14ac:dyDescent="0.25">
      <c r="A508" t="s">
        <v>28</v>
      </c>
      <c r="B508" t="s">
        <v>69</v>
      </c>
      <c r="C508">
        <v>0</v>
      </c>
      <c r="D508">
        <v>6</v>
      </c>
      <c r="E508">
        <v>3</v>
      </c>
    </row>
    <row r="509" spans="1:5" x14ac:dyDescent="0.25">
      <c r="A509" t="s">
        <v>28</v>
      </c>
      <c r="B509" t="s">
        <v>70</v>
      </c>
      <c r="C509">
        <v>4</v>
      </c>
      <c r="D509">
        <v>15</v>
      </c>
      <c r="E509">
        <v>5</v>
      </c>
    </row>
    <row r="510" spans="1:5" x14ac:dyDescent="0.25">
      <c r="A510" t="s">
        <v>28</v>
      </c>
      <c r="B510" t="s">
        <v>111</v>
      </c>
      <c r="C510">
        <v>1</v>
      </c>
      <c r="D510">
        <v>15</v>
      </c>
      <c r="E510">
        <v>4</v>
      </c>
    </row>
    <row r="511" spans="1:5" x14ac:dyDescent="0.25">
      <c r="A511" t="s">
        <v>28</v>
      </c>
      <c r="B511" t="s">
        <v>112</v>
      </c>
      <c r="C511">
        <v>1</v>
      </c>
      <c r="D511">
        <v>11</v>
      </c>
      <c r="E511">
        <v>6</v>
      </c>
    </row>
    <row r="512" spans="1:5" x14ac:dyDescent="0.25">
      <c r="A512" t="s">
        <v>28</v>
      </c>
      <c r="B512" t="s">
        <v>113</v>
      </c>
      <c r="C512">
        <v>0</v>
      </c>
      <c r="D512">
        <v>3</v>
      </c>
      <c r="E512">
        <v>5</v>
      </c>
    </row>
    <row r="513" spans="1:5" x14ac:dyDescent="0.25">
      <c r="A513" t="s">
        <v>28</v>
      </c>
      <c r="B513" t="s">
        <v>114</v>
      </c>
      <c r="C513">
        <v>0</v>
      </c>
      <c r="D513">
        <v>12</v>
      </c>
      <c r="E513">
        <v>1</v>
      </c>
    </row>
    <row r="514" spans="1:5" x14ac:dyDescent="0.25">
      <c r="A514" t="s">
        <v>28</v>
      </c>
      <c r="B514" t="s">
        <v>115</v>
      </c>
      <c r="C514">
        <v>0</v>
      </c>
      <c r="D514">
        <v>13</v>
      </c>
      <c r="E514">
        <v>6</v>
      </c>
    </row>
    <row r="515" spans="1:5" x14ac:dyDescent="0.25">
      <c r="A515" t="s">
        <v>28</v>
      </c>
      <c r="B515" t="s">
        <v>116</v>
      </c>
      <c r="C515">
        <v>0</v>
      </c>
      <c r="D515">
        <v>11</v>
      </c>
      <c r="E515">
        <v>5</v>
      </c>
    </row>
    <row r="516" spans="1:5" x14ac:dyDescent="0.25">
      <c r="A516" t="s">
        <v>28</v>
      </c>
      <c r="B516" t="s">
        <v>117</v>
      </c>
      <c r="C516">
        <v>0</v>
      </c>
      <c r="D516">
        <v>12</v>
      </c>
      <c r="E516">
        <v>8</v>
      </c>
    </row>
    <row r="517" spans="1:5" x14ac:dyDescent="0.25">
      <c r="A517" t="s">
        <v>28</v>
      </c>
      <c r="B517" t="s">
        <v>118</v>
      </c>
      <c r="C517">
        <v>0</v>
      </c>
      <c r="D517">
        <v>17</v>
      </c>
      <c r="E517">
        <v>2</v>
      </c>
    </row>
    <row r="518" spans="1:5" x14ac:dyDescent="0.25">
      <c r="A518" t="s">
        <v>28</v>
      </c>
      <c r="B518" t="s">
        <v>73</v>
      </c>
      <c r="C518">
        <v>0</v>
      </c>
      <c r="D518">
        <v>12</v>
      </c>
      <c r="E518">
        <v>19</v>
      </c>
    </row>
    <row r="519" spans="1:5" x14ac:dyDescent="0.25">
      <c r="A519" t="s">
        <v>28</v>
      </c>
      <c r="B519" t="s">
        <v>119</v>
      </c>
      <c r="C519">
        <v>0</v>
      </c>
      <c r="D519">
        <v>7</v>
      </c>
      <c r="E519">
        <v>0</v>
      </c>
    </row>
    <row r="520" spans="1:5" x14ac:dyDescent="0.25">
      <c r="A520" t="s">
        <v>28</v>
      </c>
      <c r="B520" t="s">
        <v>81</v>
      </c>
      <c r="C520">
        <v>1</v>
      </c>
      <c r="D520">
        <v>19</v>
      </c>
      <c r="E520">
        <v>14</v>
      </c>
    </row>
    <row r="521" spans="1:5" x14ac:dyDescent="0.25">
      <c r="A521" t="s">
        <v>28</v>
      </c>
      <c r="B521" t="s">
        <v>74</v>
      </c>
      <c r="C521">
        <v>400</v>
      </c>
      <c r="D521">
        <v>88</v>
      </c>
      <c r="E521">
        <v>192</v>
      </c>
    </row>
    <row r="522" spans="1:5" x14ac:dyDescent="0.25">
      <c r="A522" t="s">
        <v>28</v>
      </c>
      <c r="B522" t="s">
        <v>95</v>
      </c>
      <c r="C522">
        <v>0</v>
      </c>
      <c r="D522">
        <v>7</v>
      </c>
      <c r="E522">
        <v>0</v>
      </c>
    </row>
    <row r="523" spans="1:5" x14ac:dyDescent="0.25">
      <c r="A523" t="s">
        <v>28</v>
      </c>
      <c r="B523" t="s">
        <v>120</v>
      </c>
      <c r="C523">
        <v>0</v>
      </c>
      <c r="D523">
        <v>12</v>
      </c>
      <c r="E523">
        <v>2</v>
      </c>
    </row>
    <row r="524" spans="1:5" x14ac:dyDescent="0.25">
      <c r="A524" t="s">
        <v>28</v>
      </c>
      <c r="B524" t="s">
        <v>121</v>
      </c>
      <c r="C524">
        <v>0</v>
      </c>
      <c r="D524">
        <v>9</v>
      </c>
      <c r="E524">
        <v>3</v>
      </c>
    </row>
    <row r="525" spans="1:5" x14ac:dyDescent="0.25">
      <c r="A525" t="s">
        <v>28</v>
      </c>
      <c r="B525" t="s">
        <v>97</v>
      </c>
      <c r="C525">
        <v>71</v>
      </c>
      <c r="D525">
        <v>46</v>
      </c>
      <c r="E525">
        <v>77</v>
      </c>
    </row>
    <row r="526" spans="1:5" x14ac:dyDescent="0.25">
      <c r="A526" t="s">
        <v>28</v>
      </c>
      <c r="B526" t="s">
        <v>98</v>
      </c>
      <c r="C526">
        <v>4</v>
      </c>
      <c r="D526">
        <v>7</v>
      </c>
      <c r="E526">
        <v>9</v>
      </c>
    </row>
    <row r="527" spans="1:5" x14ac:dyDescent="0.25">
      <c r="A527" t="s">
        <v>28</v>
      </c>
      <c r="B527" t="s">
        <v>99</v>
      </c>
      <c r="C527">
        <v>22</v>
      </c>
      <c r="D527">
        <v>20</v>
      </c>
      <c r="E527">
        <v>19</v>
      </c>
    </row>
    <row r="528" spans="1:5" x14ac:dyDescent="0.25">
      <c r="A528" t="s">
        <v>28</v>
      </c>
      <c r="B528" t="s">
        <v>89</v>
      </c>
      <c r="C528">
        <v>16</v>
      </c>
      <c r="D528">
        <v>26</v>
      </c>
      <c r="E528">
        <v>115</v>
      </c>
    </row>
    <row r="529" spans="1:5" x14ac:dyDescent="0.25">
      <c r="A529" t="s">
        <v>28</v>
      </c>
      <c r="B529" t="s">
        <v>94</v>
      </c>
      <c r="C529">
        <v>6</v>
      </c>
      <c r="D529">
        <v>15</v>
      </c>
      <c r="E529">
        <v>17</v>
      </c>
    </row>
    <row r="530" spans="1:5" x14ac:dyDescent="0.25">
      <c r="A530" t="s">
        <v>28</v>
      </c>
      <c r="B530" t="s">
        <v>100</v>
      </c>
      <c r="C530">
        <v>1</v>
      </c>
      <c r="D530">
        <v>3</v>
      </c>
      <c r="E530">
        <v>1</v>
      </c>
    </row>
    <row r="531" spans="1:5" x14ac:dyDescent="0.25">
      <c r="A531" t="s">
        <v>28</v>
      </c>
      <c r="B531" t="s">
        <v>77</v>
      </c>
      <c r="C531">
        <v>245</v>
      </c>
      <c r="D531">
        <v>32</v>
      </c>
      <c r="E531">
        <v>100</v>
      </c>
    </row>
    <row r="532" spans="1:5" x14ac:dyDescent="0.25">
      <c r="A532" t="s">
        <v>28</v>
      </c>
      <c r="B532" t="s">
        <v>122</v>
      </c>
      <c r="C532">
        <v>4</v>
      </c>
      <c r="D532">
        <v>3</v>
      </c>
      <c r="E532">
        <v>1</v>
      </c>
    </row>
    <row r="533" spans="1:5" x14ac:dyDescent="0.25">
      <c r="A533" t="s">
        <v>28</v>
      </c>
      <c r="B533" t="s">
        <v>90</v>
      </c>
      <c r="C533">
        <v>6</v>
      </c>
      <c r="D533">
        <v>4</v>
      </c>
      <c r="E533">
        <v>1</v>
      </c>
    </row>
    <row r="534" spans="1:5" x14ac:dyDescent="0.25">
      <c r="A534" t="s">
        <v>28</v>
      </c>
      <c r="B534" t="s">
        <v>123</v>
      </c>
      <c r="C534">
        <v>1</v>
      </c>
      <c r="D534">
        <v>1</v>
      </c>
      <c r="E534">
        <v>0</v>
      </c>
    </row>
    <row r="535" spans="1:5" x14ac:dyDescent="0.25">
      <c r="A535" t="s">
        <v>28</v>
      </c>
      <c r="B535" t="s">
        <v>124</v>
      </c>
      <c r="C535">
        <v>0</v>
      </c>
      <c r="D535">
        <v>6</v>
      </c>
      <c r="E535">
        <v>0</v>
      </c>
    </row>
    <row r="536" spans="1:5" x14ac:dyDescent="0.25">
      <c r="A536" t="s">
        <v>28</v>
      </c>
      <c r="B536" t="s">
        <v>78</v>
      </c>
      <c r="C536">
        <v>12</v>
      </c>
      <c r="D536">
        <v>3</v>
      </c>
      <c r="E536">
        <v>11</v>
      </c>
    </row>
    <row r="537" spans="1:5" x14ac:dyDescent="0.25">
      <c r="A537" t="s">
        <v>28</v>
      </c>
      <c r="B537" t="s">
        <v>91</v>
      </c>
      <c r="C537">
        <v>5</v>
      </c>
      <c r="D537">
        <v>0</v>
      </c>
      <c r="E537">
        <v>8</v>
      </c>
    </row>
    <row r="538" spans="1:5" x14ac:dyDescent="0.25">
      <c r="A538" t="s">
        <v>28</v>
      </c>
      <c r="B538" t="s">
        <v>75</v>
      </c>
      <c r="C538">
        <v>2</v>
      </c>
      <c r="D538">
        <v>0</v>
      </c>
      <c r="E538">
        <v>3</v>
      </c>
    </row>
    <row r="539" spans="1:5" x14ac:dyDescent="0.25">
      <c r="A539" t="s">
        <v>28</v>
      </c>
      <c r="B539" t="s">
        <v>65</v>
      </c>
      <c r="C539">
        <v>4</v>
      </c>
      <c r="D539">
        <v>0</v>
      </c>
      <c r="E539">
        <v>6</v>
      </c>
    </row>
    <row r="540" spans="1:5" x14ac:dyDescent="0.25">
      <c r="A540" t="s">
        <v>28</v>
      </c>
      <c r="B540" t="s">
        <v>82</v>
      </c>
      <c r="C540">
        <v>11</v>
      </c>
      <c r="D540">
        <v>0</v>
      </c>
      <c r="E540">
        <v>78</v>
      </c>
    </row>
    <row r="541" spans="1:5" x14ac:dyDescent="0.25">
      <c r="A541" t="s">
        <v>29</v>
      </c>
      <c r="B541" t="s">
        <v>64</v>
      </c>
      <c r="C541">
        <v>547</v>
      </c>
      <c r="D541">
        <v>49</v>
      </c>
      <c r="E541">
        <v>305</v>
      </c>
    </row>
    <row r="542" spans="1:5" x14ac:dyDescent="0.25">
      <c r="A542" t="s">
        <v>29</v>
      </c>
      <c r="B542" t="s">
        <v>96</v>
      </c>
      <c r="C542">
        <v>3</v>
      </c>
      <c r="D542">
        <v>3</v>
      </c>
      <c r="E542">
        <v>2</v>
      </c>
    </row>
    <row r="543" spans="1:5" x14ac:dyDescent="0.25">
      <c r="A543" t="s">
        <v>29</v>
      </c>
      <c r="B543" t="s">
        <v>83</v>
      </c>
      <c r="C543">
        <v>8</v>
      </c>
      <c r="D543">
        <v>25</v>
      </c>
      <c r="E543">
        <v>110</v>
      </c>
    </row>
    <row r="544" spans="1:5" x14ac:dyDescent="0.25">
      <c r="A544" t="s">
        <v>29</v>
      </c>
      <c r="B544" t="s">
        <v>84</v>
      </c>
      <c r="C544">
        <v>7</v>
      </c>
      <c r="D544">
        <v>11</v>
      </c>
      <c r="E544">
        <v>2</v>
      </c>
    </row>
    <row r="545" spans="1:5" x14ac:dyDescent="0.25">
      <c r="A545" t="s">
        <v>29</v>
      </c>
      <c r="B545" t="s">
        <v>85</v>
      </c>
      <c r="C545">
        <v>1</v>
      </c>
      <c r="D545">
        <v>21</v>
      </c>
      <c r="E545">
        <v>53</v>
      </c>
    </row>
    <row r="546" spans="1:5" x14ac:dyDescent="0.25">
      <c r="A546" t="s">
        <v>29</v>
      </c>
      <c r="B546" t="s">
        <v>86</v>
      </c>
      <c r="C546">
        <v>6</v>
      </c>
      <c r="D546">
        <v>5</v>
      </c>
      <c r="E546">
        <v>11</v>
      </c>
    </row>
    <row r="547" spans="1:5" x14ac:dyDescent="0.25">
      <c r="A547" t="s">
        <v>29</v>
      </c>
      <c r="B547" t="s">
        <v>79</v>
      </c>
      <c r="C547">
        <v>0</v>
      </c>
      <c r="D547">
        <v>16</v>
      </c>
      <c r="E547">
        <v>6</v>
      </c>
    </row>
    <row r="548" spans="1:5" x14ac:dyDescent="0.25">
      <c r="A548" t="s">
        <v>29</v>
      </c>
      <c r="B548" t="s">
        <v>92</v>
      </c>
      <c r="C548">
        <v>1</v>
      </c>
      <c r="D548">
        <v>3</v>
      </c>
      <c r="E548">
        <v>0</v>
      </c>
    </row>
    <row r="549" spans="1:5" x14ac:dyDescent="0.25">
      <c r="A549" t="s">
        <v>29</v>
      </c>
      <c r="B549" t="s">
        <v>101</v>
      </c>
      <c r="C549">
        <v>12</v>
      </c>
      <c r="D549">
        <v>6</v>
      </c>
      <c r="E549">
        <v>8</v>
      </c>
    </row>
    <row r="550" spans="1:5" x14ac:dyDescent="0.25">
      <c r="A550" t="s">
        <v>29</v>
      </c>
      <c r="B550" t="s">
        <v>63</v>
      </c>
      <c r="C550">
        <v>94</v>
      </c>
      <c r="D550">
        <v>192</v>
      </c>
      <c r="E550">
        <v>482</v>
      </c>
    </row>
    <row r="551" spans="1:5" x14ac:dyDescent="0.25">
      <c r="A551" t="s">
        <v>29</v>
      </c>
      <c r="B551" t="s">
        <v>76</v>
      </c>
      <c r="C551">
        <v>1</v>
      </c>
      <c r="D551">
        <v>22</v>
      </c>
      <c r="E551">
        <v>21</v>
      </c>
    </row>
    <row r="552" spans="1:5" x14ac:dyDescent="0.25">
      <c r="A552" t="s">
        <v>29</v>
      </c>
      <c r="B552" t="s">
        <v>80</v>
      </c>
      <c r="C552">
        <v>35</v>
      </c>
      <c r="D552">
        <v>37</v>
      </c>
      <c r="E552">
        <v>51</v>
      </c>
    </row>
    <row r="553" spans="1:5" x14ac:dyDescent="0.25">
      <c r="A553" t="s">
        <v>29</v>
      </c>
      <c r="B553" t="s">
        <v>87</v>
      </c>
      <c r="C553">
        <v>0</v>
      </c>
      <c r="D553">
        <v>13</v>
      </c>
      <c r="E553">
        <v>14</v>
      </c>
    </row>
    <row r="554" spans="1:5" x14ac:dyDescent="0.25">
      <c r="A554" t="s">
        <v>29</v>
      </c>
      <c r="B554" t="s">
        <v>88</v>
      </c>
      <c r="C554">
        <v>3</v>
      </c>
      <c r="D554">
        <v>15</v>
      </c>
      <c r="E554">
        <v>14</v>
      </c>
    </row>
    <row r="555" spans="1:5" x14ac:dyDescent="0.25">
      <c r="A555" t="s">
        <v>29</v>
      </c>
      <c r="B555" t="s">
        <v>66</v>
      </c>
      <c r="C555">
        <v>9</v>
      </c>
      <c r="D555">
        <v>67</v>
      </c>
      <c r="E555">
        <v>37</v>
      </c>
    </row>
    <row r="556" spans="1:5" x14ac:dyDescent="0.25">
      <c r="A556" t="s">
        <v>29</v>
      </c>
      <c r="B556" t="s">
        <v>102</v>
      </c>
      <c r="C556">
        <v>0</v>
      </c>
      <c r="D556">
        <v>12</v>
      </c>
      <c r="E556">
        <v>6</v>
      </c>
    </row>
    <row r="557" spans="1:5" x14ac:dyDescent="0.25">
      <c r="A557" t="s">
        <v>29</v>
      </c>
      <c r="B557" t="s">
        <v>103</v>
      </c>
      <c r="C557">
        <v>0</v>
      </c>
      <c r="D557">
        <v>12</v>
      </c>
      <c r="E557">
        <v>13</v>
      </c>
    </row>
    <row r="558" spans="1:5" x14ac:dyDescent="0.25">
      <c r="A558" t="s">
        <v>29</v>
      </c>
      <c r="B558" t="s">
        <v>104</v>
      </c>
      <c r="C558">
        <v>0</v>
      </c>
      <c r="D558">
        <v>14</v>
      </c>
      <c r="E558">
        <v>14</v>
      </c>
    </row>
    <row r="559" spans="1:5" x14ac:dyDescent="0.25">
      <c r="A559" t="s">
        <v>29</v>
      </c>
      <c r="B559" t="s">
        <v>105</v>
      </c>
      <c r="C559">
        <v>1</v>
      </c>
      <c r="D559">
        <v>0</v>
      </c>
      <c r="E559">
        <v>48</v>
      </c>
    </row>
    <row r="560" spans="1:5" x14ac:dyDescent="0.25">
      <c r="A560" t="s">
        <v>29</v>
      </c>
      <c r="B560" t="s">
        <v>67</v>
      </c>
      <c r="C560">
        <v>0</v>
      </c>
      <c r="D560">
        <v>22</v>
      </c>
      <c r="E560">
        <v>85</v>
      </c>
    </row>
    <row r="561" spans="1:5" x14ac:dyDescent="0.25">
      <c r="A561" t="s">
        <v>29</v>
      </c>
      <c r="B561" t="s">
        <v>106</v>
      </c>
      <c r="C561">
        <v>3</v>
      </c>
      <c r="D561">
        <v>12</v>
      </c>
      <c r="E561">
        <v>27</v>
      </c>
    </row>
    <row r="562" spans="1:5" x14ac:dyDescent="0.25">
      <c r="A562" t="s">
        <v>29</v>
      </c>
      <c r="B562" t="s">
        <v>107</v>
      </c>
      <c r="C562">
        <v>1</v>
      </c>
      <c r="D562">
        <v>6</v>
      </c>
      <c r="E562">
        <v>0</v>
      </c>
    </row>
    <row r="563" spans="1:5" x14ac:dyDescent="0.25">
      <c r="A563" t="s">
        <v>29</v>
      </c>
      <c r="B563" t="s">
        <v>108</v>
      </c>
      <c r="C563">
        <v>0</v>
      </c>
      <c r="D563">
        <v>8</v>
      </c>
      <c r="E563">
        <v>0</v>
      </c>
    </row>
    <row r="564" spans="1:5" x14ac:dyDescent="0.25">
      <c r="A564" t="s">
        <v>29</v>
      </c>
      <c r="B564" t="s">
        <v>109</v>
      </c>
      <c r="C564">
        <v>0</v>
      </c>
      <c r="D564">
        <v>7</v>
      </c>
      <c r="E564">
        <v>15</v>
      </c>
    </row>
    <row r="565" spans="1:5" x14ac:dyDescent="0.25">
      <c r="A565" t="s">
        <v>29</v>
      </c>
      <c r="B565" t="s">
        <v>68</v>
      </c>
      <c r="C565">
        <v>0</v>
      </c>
      <c r="D565">
        <v>14</v>
      </c>
      <c r="E565">
        <v>2</v>
      </c>
    </row>
    <row r="566" spans="1:5" x14ac:dyDescent="0.25">
      <c r="A566" t="s">
        <v>29</v>
      </c>
      <c r="B566" t="s">
        <v>110</v>
      </c>
      <c r="C566">
        <v>1</v>
      </c>
      <c r="D566">
        <v>14</v>
      </c>
      <c r="E566">
        <v>7</v>
      </c>
    </row>
    <row r="567" spans="1:5" x14ac:dyDescent="0.25">
      <c r="A567" t="s">
        <v>29</v>
      </c>
      <c r="B567" t="s">
        <v>69</v>
      </c>
      <c r="C567">
        <v>0</v>
      </c>
      <c r="D567">
        <v>6</v>
      </c>
      <c r="E567">
        <v>3</v>
      </c>
    </row>
    <row r="568" spans="1:5" x14ac:dyDescent="0.25">
      <c r="A568" t="s">
        <v>29</v>
      </c>
      <c r="B568" t="s">
        <v>70</v>
      </c>
      <c r="C568">
        <v>4</v>
      </c>
      <c r="D568">
        <v>15</v>
      </c>
      <c r="E568">
        <v>5</v>
      </c>
    </row>
    <row r="569" spans="1:5" x14ac:dyDescent="0.25">
      <c r="A569" t="s">
        <v>29</v>
      </c>
      <c r="B569" t="s">
        <v>111</v>
      </c>
      <c r="C569">
        <v>1</v>
      </c>
      <c r="D569">
        <v>15</v>
      </c>
      <c r="E569">
        <v>4</v>
      </c>
    </row>
    <row r="570" spans="1:5" x14ac:dyDescent="0.25">
      <c r="A570" t="s">
        <v>29</v>
      </c>
      <c r="B570" t="s">
        <v>112</v>
      </c>
      <c r="C570">
        <v>1</v>
      </c>
      <c r="D570">
        <v>11</v>
      </c>
      <c r="E570">
        <v>6</v>
      </c>
    </row>
    <row r="571" spans="1:5" x14ac:dyDescent="0.25">
      <c r="A571" t="s">
        <v>29</v>
      </c>
      <c r="B571" t="s">
        <v>113</v>
      </c>
      <c r="C571">
        <v>0</v>
      </c>
      <c r="D571">
        <v>3</v>
      </c>
      <c r="E571">
        <v>5</v>
      </c>
    </row>
    <row r="572" spans="1:5" x14ac:dyDescent="0.25">
      <c r="A572" t="s">
        <v>29</v>
      </c>
      <c r="B572" t="s">
        <v>114</v>
      </c>
      <c r="C572">
        <v>0</v>
      </c>
      <c r="D572">
        <v>12</v>
      </c>
      <c r="E572">
        <v>1</v>
      </c>
    </row>
    <row r="573" spans="1:5" x14ac:dyDescent="0.25">
      <c r="A573" t="s">
        <v>29</v>
      </c>
      <c r="B573" t="s">
        <v>115</v>
      </c>
      <c r="C573">
        <v>0</v>
      </c>
      <c r="D573">
        <v>13</v>
      </c>
      <c r="E573">
        <v>6</v>
      </c>
    </row>
    <row r="574" spans="1:5" x14ac:dyDescent="0.25">
      <c r="A574" t="s">
        <v>29</v>
      </c>
      <c r="B574" t="s">
        <v>116</v>
      </c>
      <c r="C574">
        <v>0</v>
      </c>
      <c r="D574">
        <v>11</v>
      </c>
      <c r="E574">
        <v>5</v>
      </c>
    </row>
    <row r="575" spans="1:5" x14ac:dyDescent="0.25">
      <c r="A575" t="s">
        <v>29</v>
      </c>
      <c r="B575" t="s">
        <v>117</v>
      </c>
      <c r="C575">
        <v>0</v>
      </c>
      <c r="D575">
        <v>12</v>
      </c>
      <c r="E575">
        <v>8</v>
      </c>
    </row>
    <row r="576" spans="1:5" x14ac:dyDescent="0.25">
      <c r="A576" t="s">
        <v>29</v>
      </c>
      <c r="B576" t="s">
        <v>118</v>
      </c>
      <c r="C576">
        <v>0</v>
      </c>
      <c r="D576">
        <v>17</v>
      </c>
      <c r="E576">
        <v>2</v>
      </c>
    </row>
    <row r="577" spans="1:5" x14ac:dyDescent="0.25">
      <c r="A577" t="s">
        <v>29</v>
      </c>
      <c r="B577" t="s">
        <v>73</v>
      </c>
      <c r="C577">
        <v>0</v>
      </c>
      <c r="D577">
        <v>12</v>
      </c>
      <c r="E577">
        <v>19</v>
      </c>
    </row>
    <row r="578" spans="1:5" x14ac:dyDescent="0.25">
      <c r="A578" t="s">
        <v>29</v>
      </c>
      <c r="B578" t="s">
        <v>119</v>
      </c>
      <c r="C578">
        <v>0</v>
      </c>
      <c r="D578">
        <v>7</v>
      </c>
      <c r="E578">
        <v>0</v>
      </c>
    </row>
    <row r="579" spans="1:5" x14ac:dyDescent="0.25">
      <c r="A579" t="s">
        <v>29</v>
      </c>
      <c r="B579" t="s">
        <v>81</v>
      </c>
      <c r="C579">
        <v>1</v>
      </c>
      <c r="D579">
        <v>19</v>
      </c>
      <c r="E579">
        <v>14</v>
      </c>
    </row>
    <row r="580" spans="1:5" x14ac:dyDescent="0.25">
      <c r="A580" t="s">
        <v>29</v>
      </c>
      <c r="B580" t="s">
        <v>74</v>
      </c>
      <c r="C580">
        <v>400</v>
      </c>
      <c r="D580">
        <v>88</v>
      </c>
      <c r="E580">
        <v>192</v>
      </c>
    </row>
    <row r="581" spans="1:5" x14ac:dyDescent="0.25">
      <c r="A581" t="s">
        <v>29</v>
      </c>
      <c r="B581" t="s">
        <v>95</v>
      </c>
      <c r="C581">
        <v>0</v>
      </c>
      <c r="D581">
        <v>7</v>
      </c>
      <c r="E581">
        <v>0</v>
      </c>
    </row>
    <row r="582" spans="1:5" x14ac:dyDescent="0.25">
      <c r="A582" t="s">
        <v>29</v>
      </c>
      <c r="B582" t="s">
        <v>120</v>
      </c>
      <c r="C582">
        <v>0</v>
      </c>
      <c r="D582">
        <v>12</v>
      </c>
      <c r="E582">
        <v>2</v>
      </c>
    </row>
    <row r="583" spans="1:5" x14ac:dyDescent="0.25">
      <c r="A583" t="s">
        <v>29</v>
      </c>
      <c r="B583" t="s">
        <v>121</v>
      </c>
      <c r="C583">
        <v>0</v>
      </c>
      <c r="D583">
        <v>9</v>
      </c>
      <c r="E583">
        <v>3</v>
      </c>
    </row>
    <row r="584" spans="1:5" x14ac:dyDescent="0.25">
      <c r="A584" t="s">
        <v>29</v>
      </c>
      <c r="B584" t="s">
        <v>97</v>
      </c>
      <c r="C584">
        <v>71</v>
      </c>
      <c r="D584">
        <v>46</v>
      </c>
      <c r="E584">
        <v>77</v>
      </c>
    </row>
    <row r="585" spans="1:5" x14ac:dyDescent="0.25">
      <c r="A585" t="s">
        <v>29</v>
      </c>
      <c r="B585" t="s">
        <v>98</v>
      </c>
      <c r="C585">
        <v>4</v>
      </c>
      <c r="D585">
        <v>7</v>
      </c>
      <c r="E585">
        <v>9</v>
      </c>
    </row>
    <row r="586" spans="1:5" x14ac:dyDescent="0.25">
      <c r="A586" t="s">
        <v>29</v>
      </c>
      <c r="B586" t="s">
        <v>99</v>
      </c>
      <c r="C586">
        <v>22</v>
      </c>
      <c r="D586">
        <v>20</v>
      </c>
      <c r="E586">
        <v>19</v>
      </c>
    </row>
    <row r="587" spans="1:5" x14ac:dyDescent="0.25">
      <c r="A587" t="s">
        <v>29</v>
      </c>
      <c r="B587" t="s">
        <v>89</v>
      </c>
      <c r="C587">
        <v>16</v>
      </c>
      <c r="D587">
        <v>26</v>
      </c>
      <c r="E587">
        <v>115</v>
      </c>
    </row>
    <row r="588" spans="1:5" x14ac:dyDescent="0.25">
      <c r="A588" t="s">
        <v>29</v>
      </c>
      <c r="B588" t="s">
        <v>94</v>
      </c>
      <c r="C588">
        <v>6</v>
      </c>
      <c r="D588">
        <v>15</v>
      </c>
      <c r="E588">
        <v>17</v>
      </c>
    </row>
    <row r="589" spans="1:5" x14ac:dyDescent="0.25">
      <c r="A589" t="s">
        <v>29</v>
      </c>
      <c r="B589" t="s">
        <v>100</v>
      </c>
      <c r="C589">
        <v>1</v>
      </c>
      <c r="D589">
        <v>3</v>
      </c>
      <c r="E589">
        <v>1</v>
      </c>
    </row>
    <row r="590" spans="1:5" x14ac:dyDescent="0.25">
      <c r="A590" t="s">
        <v>29</v>
      </c>
      <c r="B590" t="s">
        <v>77</v>
      </c>
      <c r="C590">
        <v>245</v>
      </c>
      <c r="D590">
        <v>32</v>
      </c>
      <c r="E590">
        <v>100</v>
      </c>
    </row>
    <row r="591" spans="1:5" x14ac:dyDescent="0.25">
      <c r="A591" t="s">
        <v>29</v>
      </c>
      <c r="B591" t="s">
        <v>122</v>
      </c>
      <c r="C591">
        <v>4</v>
      </c>
      <c r="D591">
        <v>3</v>
      </c>
      <c r="E591">
        <v>1</v>
      </c>
    </row>
    <row r="592" spans="1:5" x14ac:dyDescent="0.25">
      <c r="A592" t="s">
        <v>29</v>
      </c>
      <c r="B592" t="s">
        <v>90</v>
      </c>
      <c r="C592">
        <v>6</v>
      </c>
      <c r="D592">
        <v>4</v>
      </c>
      <c r="E592">
        <v>1</v>
      </c>
    </row>
    <row r="593" spans="1:5" x14ac:dyDescent="0.25">
      <c r="A593" t="s">
        <v>29</v>
      </c>
      <c r="B593" t="s">
        <v>123</v>
      </c>
      <c r="C593">
        <v>1</v>
      </c>
      <c r="D593">
        <v>1</v>
      </c>
      <c r="E593">
        <v>0</v>
      </c>
    </row>
    <row r="594" spans="1:5" x14ac:dyDescent="0.25">
      <c r="A594" t="s">
        <v>29</v>
      </c>
      <c r="B594" t="s">
        <v>124</v>
      </c>
      <c r="C594">
        <v>0</v>
      </c>
      <c r="D594">
        <v>6</v>
      </c>
      <c r="E594">
        <v>0</v>
      </c>
    </row>
    <row r="595" spans="1:5" x14ac:dyDescent="0.25">
      <c r="A595" t="s">
        <v>29</v>
      </c>
      <c r="B595" t="s">
        <v>78</v>
      </c>
      <c r="C595">
        <v>12</v>
      </c>
      <c r="D595">
        <v>3</v>
      </c>
      <c r="E595">
        <v>11</v>
      </c>
    </row>
    <row r="596" spans="1:5" x14ac:dyDescent="0.25">
      <c r="A596" t="s">
        <v>29</v>
      </c>
      <c r="B596" t="s">
        <v>91</v>
      </c>
      <c r="C596">
        <v>5</v>
      </c>
      <c r="D596">
        <v>0</v>
      </c>
      <c r="E596">
        <v>11</v>
      </c>
    </row>
    <row r="597" spans="1:5" x14ac:dyDescent="0.25">
      <c r="A597" t="s">
        <v>29</v>
      </c>
      <c r="B597" t="s">
        <v>75</v>
      </c>
      <c r="C597">
        <v>2</v>
      </c>
      <c r="D597">
        <v>0</v>
      </c>
      <c r="E597">
        <v>3</v>
      </c>
    </row>
    <row r="598" spans="1:5" x14ac:dyDescent="0.25">
      <c r="A598" t="s">
        <v>29</v>
      </c>
      <c r="B598" t="s">
        <v>65</v>
      </c>
      <c r="C598">
        <v>4</v>
      </c>
      <c r="D598">
        <v>0</v>
      </c>
      <c r="E598">
        <v>6</v>
      </c>
    </row>
    <row r="599" spans="1:5" x14ac:dyDescent="0.25">
      <c r="A599" t="s">
        <v>29</v>
      </c>
      <c r="B599" t="s">
        <v>82</v>
      </c>
      <c r="C599">
        <v>11</v>
      </c>
      <c r="D599">
        <v>0</v>
      </c>
      <c r="E599">
        <v>78</v>
      </c>
    </row>
    <row r="600" spans="1:5" x14ac:dyDescent="0.25">
      <c r="A600" t="s">
        <v>30</v>
      </c>
      <c r="B600" t="s">
        <v>64</v>
      </c>
      <c r="C600">
        <v>552</v>
      </c>
      <c r="D600">
        <v>58</v>
      </c>
      <c r="E600">
        <v>332</v>
      </c>
    </row>
    <row r="601" spans="1:5" x14ac:dyDescent="0.25">
      <c r="A601" t="s">
        <v>30</v>
      </c>
      <c r="B601" t="s">
        <v>96</v>
      </c>
      <c r="C601">
        <v>3</v>
      </c>
      <c r="D601">
        <v>3</v>
      </c>
      <c r="E601">
        <v>2</v>
      </c>
    </row>
    <row r="602" spans="1:5" x14ac:dyDescent="0.25">
      <c r="A602" t="s">
        <v>30</v>
      </c>
      <c r="B602" t="s">
        <v>83</v>
      </c>
      <c r="C602">
        <v>8</v>
      </c>
      <c r="D602">
        <v>25</v>
      </c>
      <c r="E602">
        <v>110</v>
      </c>
    </row>
    <row r="603" spans="1:5" x14ac:dyDescent="0.25">
      <c r="A603" t="s">
        <v>30</v>
      </c>
      <c r="B603" t="s">
        <v>84</v>
      </c>
      <c r="C603">
        <v>7</v>
      </c>
      <c r="D603">
        <v>11</v>
      </c>
      <c r="E603">
        <v>2</v>
      </c>
    </row>
    <row r="604" spans="1:5" x14ac:dyDescent="0.25">
      <c r="A604" t="s">
        <v>30</v>
      </c>
      <c r="B604" t="s">
        <v>85</v>
      </c>
      <c r="C604">
        <v>3</v>
      </c>
      <c r="D604">
        <v>21</v>
      </c>
      <c r="E604">
        <v>53</v>
      </c>
    </row>
    <row r="605" spans="1:5" x14ac:dyDescent="0.25">
      <c r="A605" t="s">
        <v>30</v>
      </c>
      <c r="B605" t="s">
        <v>86</v>
      </c>
      <c r="C605">
        <v>6</v>
      </c>
      <c r="D605">
        <v>5</v>
      </c>
      <c r="E605">
        <v>11</v>
      </c>
    </row>
    <row r="606" spans="1:5" x14ac:dyDescent="0.25">
      <c r="A606" t="s">
        <v>30</v>
      </c>
      <c r="B606" t="s">
        <v>79</v>
      </c>
      <c r="C606">
        <v>1</v>
      </c>
      <c r="D606">
        <v>16</v>
      </c>
      <c r="E606">
        <v>6</v>
      </c>
    </row>
    <row r="607" spans="1:5" x14ac:dyDescent="0.25">
      <c r="A607" t="s">
        <v>30</v>
      </c>
      <c r="B607" t="s">
        <v>92</v>
      </c>
      <c r="C607">
        <v>1</v>
      </c>
      <c r="D607">
        <v>3</v>
      </c>
      <c r="E607">
        <v>0</v>
      </c>
    </row>
    <row r="608" spans="1:5" x14ac:dyDescent="0.25">
      <c r="A608" t="s">
        <v>30</v>
      </c>
      <c r="B608" t="s">
        <v>101</v>
      </c>
      <c r="C608">
        <v>13</v>
      </c>
      <c r="D608">
        <v>6</v>
      </c>
      <c r="E608">
        <v>9</v>
      </c>
    </row>
    <row r="609" spans="1:5" x14ac:dyDescent="0.25">
      <c r="A609" t="s">
        <v>30</v>
      </c>
      <c r="B609" t="s">
        <v>63</v>
      </c>
      <c r="C609">
        <v>94</v>
      </c>
      <c r="D609">
        <v>195</v>
      </c>
      <c r="E609">
        <v>447</v>
      </c>
    </row>
    <row r="610" spans="1:5" x14ac:dyDescent="0.25">
      <c r="A610" t="s">
        <v>30</v>
      </c>
      <c r="B610" t="s">
        <v>76</v>
      </c>
      <c r="C610">
        <v>2</v>
      </c>
      <c r="D610">
        <v>22</v>
      </c>
      <c r="E610">
        <v>21</v>
      </c>
    </row>
    <row r="611" spans="1:5" x14ac:dyDescent="0.25">
      <c r="A611" t="s">
        <v>30</v>
      </c>
      <c r="B611" t="s">
        <v>80</v>
      </c>
      <c r="C611">
        <v>39</v>
      </c>
      <c r="D611">
        <v>37</v>
      </c>
      <c r="E611">
        <v>51</v>
      </c>
    </row>
    <row r="612" spans="1:5" x14ac:dyDescent="0.25">
      <c r="A612" t="s">
        <v>30</v>
      </c>
      <c r="B612" t="s">
        <v>87</v>
      </c>
      <c r="C612">
        <v>0</v>
      </c>
      <c r="D612">
        <v>13</v>
      </c>
      <c r="E612">
        <v>14</v>
      </c>
    </row>
    <row r="613" spans="1:5" x14ac:dyDescent="0.25">
      <c r="A613" t="s">
        <v>30</v>
      </c>
      <c r="B613" t="s">
        <v>88</v>
      </c>
      <c r="C613">
        <v>3</v>
      </c>
      <c r="D613">
        <v>15</v>
      </c>
      <c r="E613">
        <v>15</v>
      </c>
    </row>
    <row r="614" spans="1:5" x14ac:dyDescent="0.25">
      <c r="A614" t="s">
        <v>30</v>
      </c>
      <c r="B614" t="s">
        <v>125</v>
      </c>
      <c r="C614">
        <v>2</v>
      </c>
      <c r="D614">
        <v>5</v>
      </c>
      <c r="E614">
        <v>22</v>
      </c>
    </row>
    <row r="615" spans="1:5" x14ac:dyDescent="0.25">
      <c r="A615" t="s">
        <v>30</v>
      </c>
      <c r="B615" t="s">
        <v>66</v>
      </c>
      <c r="C615">
        <v>9</v>
      </c>
      <c r="D615">
        <v>67</v>
      </c>
      <c r="E615">
        <v>37</v>
      </c>
    </row>
    <row r="616" spans="1:5" x14ac:dyDescent="0.25">
      <c r="A616" t="s">
        <v>30</v>
      </c>
      <c r="B616" t="s">
        <v>102</v>
      </c>
      <c r="C616">
        <v>0</v>
      </c>
      <c r="D616">
        <v>12</v>
      </c>
      <c r="E616">
        <v>6</v>
      </c>
    </row>
    <row r="617" spans="1:5" x14ac:dyDescent="0.25">
      <c r="A617" t="s">
        <v>30</v>
      </c>
      <c r="B617" t="s">
        <v>103</v>
      </c>
      <c r="C617">
        <v>0</v>
      </c>
      <c r="D617">
        <v>12</v>
      </c>
      <c r="E617">
        <v>13</v>
      </c>
    </row>
    <row r="618" spans="1:5" x14ac:dyDescent="0.25">
      <c r="A618" t="s">
        <v>30</v>
      </c>
      <c r="B618" t="s">
        <v>104</v>
      </c>
      <c r="C618">
        <v>0</v>
      </c>
      <c r="D618">
        <v>14</v>
      </c>
      <c r="E618">
        <v>14</v>
      </c>
    </row>
    <row r="619" spans="1:5" x14ac:dyDescent="0.25">
      <c r="A619" t="s">
        <v>30</v>
      </c>
      <c r="B619" t="s">
        <v>105</v>
      </c>
      <c r="C619">
        <v>1</v>
      </c>
      <c r="D619">
        <v>0</v>
      </c>
      <c r="E619">
        <v>63</v>
      </c>
    </row>
    <row r="620" spans="1:5" x14ac:dyDescent="0.25">
      <c r="A620" t="s">
        <v>30</v>
      </c>
      <c r="B620" t="s">
        <v>67</v>
      </c>
      <c r="C620">
        <v>0</v>
      </c>
      <c r="D620">
        <v>22</v>
      </c>
      <c r="E620">
        <v>85</v>
      </c>
    </row>
    <row r="621" spans="1:5" x14ac:dyDescent="0.25">
      <c r="A621" t="s">
        <v>30</v>
      </c>
      <c r="B621" t="s">
        <v>106</v>
      </c>
      <c r="C621">
        <v>3</v>
      </c>
      <c r="D621">
        <v>12</v>
      </c>
      <c r="E621">
        <v>27</v>
      </c>
    </row>
    <row r="622" spans="1:5" x14ac:dyDescent="0.25">
      <c r="A622" t="s">
        <v>30</v>
      </c>
      <c r="B622" t="s">
        <v>107</v>
      </c>
      <c r="C622">
        <v>1</v>
      </c>
      <c r="D622">
        <v>6</v>
      </c>
      <c r="E622">
        <v>0</v>
      </c>
    </row>
    <row r="623" spans="1:5" x14ac:dyDescent="0.25">
      <c r="A623" t="s">
        <v>30</v>
      </c>
      <c r="B623" t="s">
        <v>108</v>
      </c>
      <c r="C623">
        <v>0</v>
      </c>
      <c r="D623">
        <v>8</v>
      </c>
      <c r="E623">
        <v>0</v>
      </c>
    </row>
    <row r="624" spans="1:5" x14ac:dyDescent="0.25">
      <c r="A624" t="s">
        <v>30</v>
      </c>
      <c r="B624" t="s">
        <v>109</v>
      </c>
      <c r="C624">
        <v>0</v>
      </c>
      <c r="D624">
        <v>7</v>
      </c>
      <c r="E624">
        <v>15</v>
      </c>
    </row>
    <row r="625" spans="1:5" x14ac:dyDescent="0.25">
      <c r="A625" t="s">
        <v>30</v>
      </c>
      <c r="B625" t="s">
        <v>68</v>
      </c>
      <c r="C625">
        <v>0</v>
      </c>
      <c r="D625">
        <v>14</v>
      </c>
      <c r="E625">
        <v>2</v>
      </c>
    </row>
    <row r="626" spans="1:5" x14ac:dyDescent="0.25">
      <c r="A626" t="s">
        <v>30</v>
      </c>
      <c r="B626" t="s">
        <v>110</v>
      </c>
      <c r="C626">
        <v>1</v>
      </c>
      <c r="D626">
        <v>14</v>
      </c>
      <c r="E626">
        <v>7</v>
      </c>
    </row>
    <row r="627" spans="1:5" x14ac:dyDescent="0.25">
      <c r="A627" t="s">
        <v>30</v>
      </c>
      <c r="B627" t="s">
        <v>69</v>
      </c>
      <c r="C627">
        <v>0</v>
      </c>
      <c r="D627">
        <v>6</v>
      </c>
      <c r="E627">
        <v>3</v>
      </c>
    </row>
    <row r="628" spans="1:5" x14ac:dyDescent="0.25">
      <c r="A628" t="s">
        <v>30</v>
      </c>
      <c r="B628" t="s">
        <v>70</v>
      </c>
      <c r="C628">
        <v>4</v>
      </c>
      <c r="D628">
        <v>15</v>
      </c>
      <c r="E628">
        <v>5</v>
      </c>
    </row>
    <row r="629" spans="1:5" x14ac:dyDescent="0.25">
      <c r="A629" t="s">
        <v>30</v>
      </c>
      <c r="B629" t="s">
        <v>111</v>
      </c>
      <c r="C629">
        <v>1</v>
      </c>
      <c r="D629">
        <v>15</v>
      </c>
      <c r="E629">
        <v>4</v>
      </c>
    </row>
    <row r="630" spans="1:5" x14ac:dyDescent="0.25">
      <c r="A630" t="s">
        <v>30</v>
      </c>
      <c r="B630" t="s">
        <v>112</v>
      </c>
      <c r="C630">
        <v>1</v>
      </c>
      <c r="D630">
        <v>11</v>
      </c>
      <c r="E630">
        <v>6</v>
      </c>
    </row>
    <row r="631" spans="1:5" x14ac:dyDescent="0.25">
      <c r="A631" t="s">
        <v>30</v>
      </c>
      <c r="B631" t="s">
        <v>113</v>
      </c>
      <c r="C631">
        <v>0</v>
      </c>
      <c r="D631">
        <v>3</v>
      </c>
      <c r="E631">
        <v>5</v>
      </c>
    </row>
    <row r="632" spans="1:5" x14ac:dyDescent="0.25">
      <c r="A632" t="s">
        <v>30</v>
      </c>
      <c r="B632" t="s">
        <v>114</v>
      </c>
      <c r="C632">
        <v>0</v>
      </c>
      <c r="D632">
        <v>12</v>
      </c>
      <c r="E632">
        <v>1</v>
      </c>
    </row>
    <row r="633" spans="1:5" x14ac:dyDescent="0.25">
      <c r="A633" t="s">
        <v>30</v>
      </c>
      <c r="B633" t="s">
        <v>115</v>
      </c>
      <c r="C633">
        <v>0</v>
      </c>
      <c r="D633">
        <v>13</v>
      </c>
      <c r="E633">
        <v>6</v>
      </c>
    </row>
    <row r="634" spans="1:5" x14ac:dyDescent="0.25">
      <c r="A634" t="s">
        <v>30</v>
      </c>
      <c r="B634" t="s">
        <v>116</v>
      </c>
      <c r="C634">
        <v>0</v>
      </c>
      <c r="D634">
        <v>11</v>
      </c>
      <c r="E634">
        <v>5</v>
      </c>
    </row>
    <row r="635" spans="1:5" x14ac:dyDescent="0.25">
      <c r="A635" t="s">
        <v>30</v>
      </c>
      <c r="B635" t="s">
        <v>117</v>
      </c>
      <c r="C635">
        <v>0</v>
      </c>
      <c r="D635">
        <v>12</v>
      </c>
      <c r="E635">
        <v>8</v>
      </c>
    </row>
    <row r="636" spans="1:5" x14ac:dyDescent="0.25">
      <c r="A636" t="s">
        <v>30</v>
      </c>
      <c r="B636" t="s">
        <v>118</v>
      </c>
      <c r="C636">
        <v>0</v>
      </c>
      <c r="D636">
        <v>17</v>
      </c>
      <c r="E636">
        <v>2</v>
      </c>
    </row>
    <row r="637" spans="1:5" x14ac:dyDescent="0.25">
      <c r="A637" t="s">
        <v>30</v>
      </c>
      <c r="B637" t="s">
        <v>73</v>
      </c>
      <c r="C637">
        <v>0</v>
      </c>
      <c r="D637">
        <v>12</v>
      </c>
      <c r="E637">
        <v>19</v>
      </c>
    </row>
    <row r="638" spans="1:5" x14ac:dyDescent="0.25">
      <c r="A638" t="s">
        <v>30</v>
      </c>
      <c r="B638" t="s">
        <v>119</v>
      </c>
      <c r="C638">
        <v>0</v>
      </c>
      <c r="D638">
        <v>7</v>
      </c>
      <c r="E638">
        <v>0</v>
      </c>
    </row>
    <row r="639" spans="1:5" x14ac:dyDescent="0.25">
      <c r="A639" t="s">
        <v>30</v>
      </c>
      <c r="B639" t="s">
        <v>81</v>
      </c>
      <c r="C639">
        <v>1</v>
      </c>
      <c r="D639">
        <v>19</v>
      </c>
      <c r="E639">
        <v>14</v>
      </c>
    </row>
    <row r="640" spans="1:5" x14ac:dyDescent="0.25">
      <c r="A640" t="s">
        <v>30</v>
      </c>
      <c r="B640" t="s">
        <v>74</v>
      </c>
      <c r="C640">
        <v>408</v>
      </c>
      <c r="D640">
        <v>89</v>
      </c>
      <c r="E640">
        <v>199</v>
      </c>
    </row>
    <row r="641" spans="1:5" x14ac:dyDescent="0.25">
      <c r="A641" t="s">
        <v>30</v>
      </c>
      <c r="B641" t="s">
        <v>95</v>
      </c>
      <c r="C641">
        <v>0</v>
      </c>
      <c r="D641">
        <v>7</v>
      </c>
      <c r="E641">
        <v>0</v>
      </c>
    </row>
    <row r="642" spans="1:5" x14ac:dyDescent="0.25">
      <c r="A642" t="s">
        <v>30</v>
      </c>
      <c r="B642" t="s">
        <v>120</v>
      </c>
      <c r="C642">
        <v>0</v>
      </c>
      <c r="D642">
        <v>12</v>
      </c>
      <c r="E642">
        <v>2</v>
      </c>
    </row>
    <row r="643" spans="1:5" x14ac:dyDescent="0.25">
      <c r="A643" t="s">
        <v>30</v>
      </c>
      <c r="B643" t="s">
        <v>121</v>
      </c>
      <c r="C643">
        <v>0</v>
      </c>
      <c r="D643">
        <v>9</v>
      </c>
      <c r="E643">
        <v>3</v>
      </c>
    </row>
    <row r="644" spans="1:5" x14ac:dyDescent="0.25">
      <c r="A644" t="s">
        <v>30</v>
      </c>
      <c r="B644" t="s">
        <v>97</v>
      </c>
      <c r="C644">
        <v>73</v>
      </c>
      <c r="D644">
        <v>46</v>
      </c>
      <c r="E644">
        <v>85</v>
      </c>
    </row>
    <row r="645" spans="1:5" x14ac:dyDescent="0.25">
      <c r="A645" t="s">
        <v>30</v>
      </c>
      <c r="B645" t="s">
        <v>98</v>
      </c>
      <c r="C645">
        <v>4</v>
      </c>
      <c r="D645">
        <v>7</v>
      </c>
      <c r="E645">
        <v>9</v>
      </c>
    </row>
    <row r="646" spans="1:5" x14ac:dyDescent="0.25">
      <c r="A646" t="s">
        <v>30</v>
      </c>
      <c r="B646" t="s">
        <v>99</v>
      </c>
      <c r="C646">
        <v>22</v>
      </c>
      <c r="D646">
        <v>20</v>
      </c>
      <c r="E646">
        <v>19</v>
      </c>
    </row>
    <row r="647" spans="1:5" x14ac:dyDescent="0.25">
      <c r="A647" t="s">
        <v>30</v>
      </c>
      <c r="B647" t="s">
        <v>89</v>
      </c>
      <c r="C647">
        <v>16</v>
      </c>
      <c r="D647">
        <v>26</v>
      </c>
      <c r="E647">
        <v>115</v>
      </c>
    </row>
    <row r="648" spans="1:5" x14ac:dyDescent="0.25">
      <c r="A648" t="s">
        <v>30</v>
      </c>
      <c r="B648" t="s">
        <v>94</v>
      </c>
      <c r="C648">
        <v>6</v>
      </c>
      <c r="D648">
        <v>15</v>
      </c>
      <c r="E648">
        <v>17</v>
      </c>
    </row>
    <row r="649" spans="1:5" x14ac:dyDescent="0.25">
      <c r="A649" t="s">
        <v>30</v>
      </c>
      <c r="B649" t="s">
        <v>100</v>
      </c>
      <c r="C649">
        <v>1</v>
      </c>
      <c r="D649">
        <v>3</v>
      </c>
      <c r="E649">
        <v>1</v>
      </c>
    </row>
    <row r="650" spans="1:5" x14ac:dyDescent="0.25">
      <c r="A650" t="s">
        <v>30</v>
      </c>
      <c r="B650" t="s">
        <v>77</v>
      </c>
      <c r="C650">
        <v>247</v>
      </c>
      <c r="D650">
        <v>33</v>
      </c>
      <c r="E650">
        <v>103</v>
      </c>
    </row>
    <row r="651" spans="1:5" x14ac:dyDescent="0.25">
      <c r="A651" t="s">
        <v>30</v>
      </c>
      <c r="B651" t="s">
        <v>122</v>
      </c>
      <c r="C651">
        <v>4</v>
      </c>
      <c r="D651">
        <v>3</v>
      </c>
      <c r="E651">
        <v>1</v>
      </c>
    </row>
    <row r="652" spans="1:5" x14ac:dyDescent="0.25">
      <c r="A652" t="s">
        <v>30</v>
      </c>
      <c r="B652" t="s">
        <v>90</v>
      </c>
      <c r="C652">
        <v>6</v>
      </c>
      <c r="D652">
        <v>4</v>
      </c>
      <c r="E652">
        <v>1</v>
      </c>
    </row>
    <row r="653" spans="1:5" x14ac:dyDescent="0.25">
      <c r="A653" t="s">
        <v>30</v>
      </c>
      <c r="B653" t="s">
        <v>123</v>
      </c>
      <c r="C653">
        <v>1</v>
      </c>
      <c r="D653">
        <v>1</v>
      </c>
      <c r="E653">
        <v>0</v>
      </c>
    </row>
    <row r="654" spans="1:5" x14ac:dyDescent="0.25">
      <c r="A654" t="s">
        <v>30</v>
      </c>
      <c r="B654" t="s">
        <v>124</v>
      </c>
      <c r="C654">
        <v>0</v>
      </c>
      <c r="D654">
        <v>6</v>
      </c>
      <c r="E654">
        <v>0</v>
      </c>
    </row>
    <row r="655" spans="1:5" x14ac:dyDescent="0.25">
      <c r="A655" t="s">
        <v>30</v>
      </c>
      <c r="B655" t="s">
        <v>78</v>
      </c>
      <c r="C655">
        <v>12</v>
      </c>
      <c r="D655">
        <v>3</v>
      </c>
      <c r="E655">
        <v>11</v>
      </c>
    </row>
    <row r="656" spans="1:5" x14ac:dyDescent="0.25">
      <c r="A656" t="s">
        <v>30</v>
      </c>
      <c r="B656" t="s">
        <v>91</v>
      </c>
      <c r="C656">
        <v>5</v>
      </c>
      <c r="D656">
        <v>0</v>
      </c>
      <c r="E656">
        <v>11</v>
      </c>
    </row>
    <row r="657" spans="1:5" x14ac:dyDescent="0.25">
      <c r="A657" t="s">
        <v>30</v>
      </c>
      <c r="B657" t="s">
        <v>75</v>
      </c>
      <c r="C657">
        <v>2</v>
      </c>
      <c r="D657">
        <v>0</v>
      </c>
      <c r="E657">
        <v>3</v>
      </c>
    </row>
    <row r="658" spans="1:5" x14ac:dyDescent="0.25">
      <c r="A658" t="s">
        <v>30</v>
      </c>
      <c r="B658" t="s">
        <v>65</v>
      </c>
      <c r="C658">
        <v>4</v>
      </c>
      <c r="D658">
        <v>2</v>
      </c>
      <c r="E658">
        <v>11</v>
      </c>
    </row>
    <row r="659" spans="1:5" x14ac:dyDescent="0.25">
      <c r="A659" t="s">
        <v>30</v>
      </c>
      <c r="B659" t="s">
        <v>82</v>
      </c>
      <c r="C659">
        <v>16</v>
      </c>
      <c r="D659">
        <v>0</v>
      </c>
      <c r="E659">
        <v>123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Tamanho</vt:lpstr>
      <vt:lpstr>Revisoes</vt:lpstr>
      <vt:lpstr>Coupling</vt:lpstr>
      <vt:lpstr>coupling-cohesion variation</vt:lpstr>
      <vt:lpstr>dados_pacotes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</dc:creator>
  <cp:lastModifiedBy>Marcio</cp:lastModifiedBy>
  <dcterms:created xsi:type="dcterms:W3CDTF">2013-11-05T14:05:34Z</dcterms:created>
  <dcterms:modified xsi:type="dcterms:W3CDTF">2013-11-05T17:24:11Z</dcterms:modified>
</cp:coreProperties>
</file>